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À LIRE" sheetId="1" state="visible" r:id="rId1"/>
    <sheet name="0-Diagnostic rapide" sheetId="2" state="visible" r:id="rId2"/>
    <sheet name="Synthèse" sheetId="3" state="visible" r:id="rId3"/>
    <sheet name="Arbitrage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5867"/>
      <sz val="14"/>
    </font>
    <font>
      <name val="Arial"/>
      <i val="1"/>
      <color rgb="00555555"/>
      <sz val="9"/>
    </font>
    <font>
      <name val="Arial"/>
      <b val="1"/>
      <color rgb="00005867"/>
      <sz val="11"/>
    </font>
    <font>
      <name val="Arial"/>
      <b val="1"/>
      <sz val="10"/>
    </font>
    <font>
      <name val="Arial"/>
      <sz val="10"/>
    </font>
    <font>
      <name val="Arial"/>
      <b val="1"/>
      <color rgb="00FFFFFF"/>
      <sz val="10"/>
    </font>
    <font>
      <name val="Arial"/>
      <color rgb="000000FF"/>
      <sz val="10"/>
    </font>
  </fonts>
  <fills count="5">
    <fill>
      <patternFill/>
    </fill>
    <fill>
      <patternFill patternType="gray125"/>
    </fill>
    <fill>
      <patternFill patternType="solid">
        <fgColor rgb="00FFF2CC"/>
      </patternFill>
    </fill>
    <fill>
      <patternFill patternType="solid">
        <fgColor rgb="00005867"/>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0" applyAlignment="1" pivotButton="0" quotePrefix="0" xfId="0">
      <alignment vertical="top" wrapText="1"/>
    </xf>
    <xf numFmtId="0" fontId="6" fillId="3"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7"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vertical="center" wrapText="1"/>
    </xf>
    <xf numFmtId="0" fontId="6" fillId="3" borderId="1" pivotButton="0" quotePrefix="0" xfId="0"/>
    <xf numFmtId="0" fontId="5" fillId="0" borderId="1" pivotButton="0" quotePrefix="0" xfId="0"/>
    <xf numFmtId="2" fontId="5" fillId="0" borderId="1" pivotButton="0" quotePrefix="0" xfId="0"/>
    <xf numFmtId="0" fontId="4" fillId="0" borderId="0" pivotButton="0" quotePrefix="0" xfId="0"/>
    <xf numFmtId="2" fontId="4" fillId="0" borderId="0" pivotButton="0" quotePrefix="0" xfId="0"/>
    <xf numFmtId="0" fontId="2" fillId="0" borderId="0" pivotButton="0" quotePrefix="0" xfId="0"/>
    <xf numFmtId="0" fontId="6" fillId="3"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5"/>
  <sheetViews>
    <sheetView workbookViewId="0">
      <selection activeCell="A1" sqref="A1"/>
    </sheetView>
  </sheetViews>
  <sheetFormatPr baseColWidth="8" defaultRowHeight="15"/>
  <cols>
    <col width="3" customWidth="1" min="1" max="1"/>
    <col width="30" customWidth="1" min="2" max="2"/>
    <col width="95" customWidth="1" min="3" max="3"/>
  </cols>
  <sheetData>
    <row r="1">
      <c r="B1" s="1" t="inlineStr">
        <is>
          <t>EROOM — Diagnostic rapide · version univoque</t>
        </is>
      </c>
    </row>
    <row r="2">
      <c r="B2" s="2" t="inlineStr">
        <is>
          <t>Établi contre le template EOF V1.1 (source primaire). Proposition v0.1 — 2026-08-15. Périmètre : diagnostic rapide seul (16 critères, 6 piliers). Licence CC BY-SA, comme le commun EROOM.</t>
        </is>
      </c>
    </row>
    <row r="4">
      <c r="B4" s="3" t="inlineStr">
        <is>
          <t>L'axe de l'échelle</t>
        </is>
      </c>
    </row>
    <row r="5">
      <c r="B5" s="4" t="inlineStr">
        <is>
          <t>1 = fort potentiel d'optimisation</t>
        </is>
      </c>
      <c r="C5" s="5" t="inlineStr">
        <is>
          <t>Le service mérite d'être instruit en priorité : candidat à la suppression, dupliqué, lent, gourmand, opaque…</t>
        </is>
      </c>
    </row>
    <row r="6">
      <c r="B6" s="4" t="inlineStr">
        <is>
          <t>5 = rien à gagner sur ce point</t>
        </is>
      </c>
      <c r="C6" s="5" t="inlineStr">
        <is>
          <t>Y compris un service critique : son empreinte est une contrainte assumée, pas un gaspillage.</t>
        </is>
      </c>
    </row>
    <row r="8">
      <c r="B8" s="3" t="inlineStr">
        <is>
          <t>Comment répondre</t>
        </is>
      </c>
    </row>
    <row r="9">
      <c r="B9" s="6" t="inlineStr">
        <is>
          <t>Colonne ✏️ ÉVALUATION (jaune)</t>
        </is>
      </c>
      <c r="C9" s="5" t="inlineStr">
        <is>
          <t>Seules cellules à remplir. Liste déroulante : 1 à 5, ou « Je ne sais pas ».</t>
        </is>
      </c>
    </row>
    <row r="10">
      <c r="B10" s="4" t="inlineStr">
        <is>
          <t>« Je ne sais pas »</t>
        </is>
      </c>
      <c r="C10" s="5" t="inlineStr">
        <is>
          <t>Réponse à part entière, EXCLUE du score. Ne jamais choisir le cran 1 pour dire « j'ignore » : le 1 dit « c'est le pire cas constaté », pas « je ne sais pas ».</t>
        </is>
      </c>
    </row>
    <row r="11">
      <c r="B11" s="4" t="inlineStr">
        <is>
          <t>Exemple</t>
        </is>
      </c>
      <c r="C11" s="5" t="inlineStr">
        <is>
          <t>Critère 4.1, service qui stocke ~200 Go connus : choisir 2. Même critère, volume inconnu de l'équipe : choisir « Je ne sais pas ».</t>
        </is>
      </c>
    </row>
    <row r="12">
      <c r="B12" s="4" t="inlineStr">
        <is>
          <t>Critère 3.2 (région)</t>
        </is>
      </c>
      <c r="C12" s="5" t="inlineStr">
        <is>
          <t>Noter la région de production en colonne CAS LIMITE / NOTES, puis choisir le cran selon la bande d'intensité carbone affichée.</t>
        </is>
      </c>
    </row>
    <row r="14">
      <c r="B14" s="3" t="inlineStr">
        <is>
          <t>Les colonnes</t>
        </is>
      </c>
    </row>
    <row r="15">
      <c r="B15" s="4" t="inlineStr">
        <is>
          <t>MÉTHODE D'ÉVALUATION (amorce)</t>
        </is>
      </c>
      <c r="C15" s="5" t="inlineStr">
        <is>
          <t>Règle de décision proposée : ce qu'on compte, où on regarde, ce qui départage deux crans voisins. Amorce à contester — la version finale relève des fiches agent.</t>
        </is>
      </c>
    </row>
    <row r="16">
      <c r="B16" s="4" t="inlineStr">
        <is>
          <t>NIVEAU D'IMPACT</t>
        </is>
      </c>
      <c r="C16" s="5" t="inlineStr">
        <is>
          <t>Dérivé du co2Weight applicatif (5-4 → Déterminant · 3 → Significatif · 2-1 → Modéré). Le template EOF porte « Déterminant » ×16, donc muet. Dérivation à valider : co2Weight note le gain du correctif, pas l'importance du critère.</t>
        </is>
      </c>
    </row>
    <row r="17">
      <c r="B17" s="4" t="inlineStr">
        <is>
          <t>CAS LIMITE / NOTES</t>
        </is>
      </c>
      <c r="C17" s="5" t="inlineStr">
        <is>
          <t>À écrire (US 2.28) : une situation concrète entre deux crans voisins, qui force la règle à être explicite. Sert aussi de zone de notes en passation.</t>
        </is>
      </c>
    </row>
    <row r="18">
      <c r="B18" s="4" t="inlineStr">
        <is>
          <t>DÉCIDABILITÉ AGENT</t>
        </is>
      </c>
      <c r="C18" s="5" t="inlineStr">
        <is>
          <t>En boîte noire (URL seule) : AUTO = l'agent tranche seul · SEMI = il propose, un humain confirme · HUMAIN = hors de portée d'une mesure externe. Bilan : 1 AUTO · 4 SEMI · 11 HUMAIN.</t>
        </is>
      </c>
    </row>
    <row r="20">
      <c r="B20" s="3" t="inlineStr">
        <is>
          <t>Synthèse</t>
        </is>
      </c>
    </row>
    <row r="21">
      <c r="B21" s="4" t="inlineStr">
        <is>
          <t>Onglet Synthèse</t>
        </is>
      </c>
      <c r="C21" s="5" t="inlineStr">
        <is>
          <t>Scores par pilier et score global calculés par formules — moyenne des réponses numériques. « Je ne sais pas » et cellules vides n'entrent pas dans le calcul. Le taux de réponses connues est l'indicateur de confiance du diagnostic, distinct du score.</t>
        </is>
      </c>
    </row>
    <row r="23">
      <c r="B23" s="3" t="inlineStr">
        <is>
          <t>Points non tranchés</t>
        </is>
      </c>
    </row>
    <row r="24">
      <c r="B24" s="4" t="inlineStr">
        <is>
          <t>7 arbitrages ouverts</t>
        </is>
      </c>
      <c r="C24" s="5" t="inlineStr">
        <is>
          <t>Onglet Arbitrages. Le détail complet — défauts constatés, mesure avant/après, limites — est dans le document compagnon : docs/reference/diagnostic-rapide-univocite-et-decidabilite.md.</t>
        </is>
      </c>
    </row>
    <row r="25">
      <c r="B25" s="4" t="inlineStr">
        <is>
          <t>⚠️ Fichiers compagnons</t>
        </is>
      </c>
      <c r="C25" s="5" t="inlineStr">
        <is>
          <t>docs/diagnostic-rapide.csv et docs/questions-diagnostic-comparaison.md inversent l'orientation de Produit 1 v1.1. Le template EOF fait foi (US 2.22).</t>
        </is>
      </c>
    </row>
  </sheetData>
  <mergeCells count="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8" customWidth="1" min="3" max="3"/>
    <col width="14" customWidth="1" min="4" max="4"/>
    <col width="52" customWidth="1" min="5" max="5"/>
    <col width="52" customWidth="1" min="6" max="6"/>
    <col width="44" customWidth="1" min="7" max="7"/>
    <col width="14" customWidth="1" min="8" max="8"/>
    <col width="42" customWidth="1" min="9" max="9"/>
    <col width="30" customWidth="1" min="10" max="10"/>
    <col width="14" customWidth="1" min="11" max="11"/>
    <col width="40" customWidth="1" min="12" max="12"/>
  </cols>
  <sheetData>
    <row r="1" ht="30" customHeight="1">
      <c r="A1" s="7" t="inlineStr">
        <is>
          <t>ID</t>
        </is>
      </c>
      <c r="B1" s="7" t="inlineStr">
        <is>
          <t>PILIER</t>
        </is>
      </c>
      <c r="C1" s="7" t="inlineStr">
        <is>
          <t>CRITÈRE</t>
        </is>
      </c>
      <c r="D1" s="7" t="inlineStr">
        <is>
          <t>✏️ ÉVALUATION</t>
        </is>
      </c>
      <c r="E1" s="7" t="inlineStr">
        <is>
          <t>ÉCHELLE (1 → 5)</t>
        </is>
      </c>
      <c r="F1" s="7" t="inlineStr">
        <is>
          <t>MÉTHODE D'ÉVALUATION (amorce)</t>
        </is>
      </c>
      <c r="G1" s="7" t="inlineStr">
        <is>
          <t>EXPLICATION SUPPLÉMENTAIRE</t>
        </is>
      </c>
      <c r="H1" s="7" t="inlineStr">
        <is>
          <t>NIVEAU D'IMPACT</t>
        </is>
      </c>
      <c r="I1" s="7" t="inlineStr">
        <is>
          <t>RECOMMANDATION (RAPPORT)</t>
        </is>
      </c>
      <c r="J1" s="7" t="inlineStr">
        <is>
          <t>CAS LIMITE / NOTES</t>
        </is>
      </c>
      <c r="K1" s="7" t="inlineStr">
        <is>
          <t>DÉCIDABILITÉ AGENT</t>
        </is>
      </c>
      <c r="L1" s="7" t="inlineStr">
        <is>
          <t>SOURCE D'ÉVIDENCE (boîte noire)</t>
        </is>
      </c>
    </row>
    <row r="2">
      <c r="A2" s="8" t="inlineStr">
        <is>
          <t>1.1</t>
        </is>
      </c>
      <c r="B2" s="9" t="inlineStr">
        <is>
          <t>Produit</t>
        </is>
      </c>
      <c r="C2" s="9" t="inlineStr">
        <is>
          <t>Quel serait l'impact sur les utilisateurs si ce service disparaissait demain ?</t>
        </is>
      </c>
      <c r="D2" s="10" t="n"/>
      <c r="E2" s="9" t="inlineStr">
        <is>
          <t>1 — Personne ne le remarquerait
2 — Quelques utilisateurs gênés — alternatives immédiates
3 — Impact modéré — des alternatives existent, mais coûtent du temps
4 — Forte gêne sur les activités principales
5 — Blocage immédiat — les équipes ne peuvent plus travailler</t>
        </is>
      </c>
      <c r="F2" s="9" t="inlineStr">
        <is>
          <t>Se placer du point de vue des utilisateurs finaux, pas de l'équipe qui exploite le service. Évaluer la situation 24 h après la disparition. Retenir 1 si le service peut être coupé sans que personne ne le signale ; 5 si aucune alternative n'existe et que l'activité s'arrête. Source : responsable produit ou métier.</t>
        </is>
      </c>
      <c r="G2" s="9" t="inlineStr">
        <is>
          <t>Un service dont l'absence passerait inaperçue est un candidat direct à la suppression ou à la mutualisation — l'un des gains les plus faciles. À l'inverse, un service critique est justifié : son empreinte est une contrainte assumée.</t>
        </is>
      </c>
      <c r="H2" s="11" t="inlineStr">
        <is>
          <t>Modéré</t>
        </is>
      </c>
      <c r="I2" s="9" t="inlineStr">
        <is>
          <t>Évaluer si ce service peut être simplifié en périmètre, mutualisé ou supprimé.</t>
        </is>
      </c>
      <c r="J2" s="9" t="inlineStr"/>
      <c r="K2" s="11" t="inlineStr">
        <is>
          <t>HUMAIN</t>
        </is>
      </c>
      <c r="L2" s="9" t="inlineStr">
        <is>
          <t>Criticité métier — aucune mesure externe.</t>
        </is>
      </c>
    </row>
    <row r="3">
      <c r="A3" s="12" t="inlineStr">
        <is>
          <t>1.2</t>
        </is>
      </c>
      <c r="B3" s="13" t="inlineStr">
        <is>
          <t>Produit</t>
        </is>
      </c>
      <c r="C3" s="13" t="inlineStr">
        <is>
          <t>Dans quelle mesure les fonctionnalités de ce service sont-elles déjà couvertes ailleurs dans l'organisation ?</t>
        </is>
      </c>
      <c r="D3" s="10" t="n"/>
      <c r="E3" s="13" t="inlineStr">
        <is>
          <t>1 — Totalement dupliqué — plusieurs outils font exactement la même chose
2 — Large recouvrement — la majorité des fonctions existent ailleurs
3 — Quelques similitudes, sans recouvrement fonctionnel réel
4 — Recouvrement limité à une fonction secondaire
5 — Totalement unique dans l'organisation</t>
        </is>
      </c>
      <c r="F3" s="13" t="inlineStr">
        <is>
          <t>Comparer aux applications du même périmètre métier, pas à l'ensemble du SI. Compter le recouvrement en fonctionnalités principales, pas en écrans. Retenir 1 si un autre outil pourrait remplacer celui-ci sans perte fonctionnelle. Source : cartographie applicative ou urbaniste SI.</t>
        </is>
      </c>
      <c r="G3" s="13" t="inlineStr">
        <is>
          <t>Chaque doublon multiplie les ressources consommées : serveurs, données, énergie. Les redondances fonctionnelles sont souvent les premiers gains à faible risque.</t>
        </is>
      </c>
      <c r="H3" s="14" t="inlineStr">
        <is>
          <t>Modéré</t>
        </is>
      </c>
      <c r="I3" s="13" t="inlineStr">
        <is>
          <t>Identifier et éliminer les fonctionnalités dupliquées avec d'autres services de l'organisation.</t>
        </is>
      </c>
      <c r="J3" s="13" t="inlineStr"/>
      <c r="K3" s="14" t="inlineStr">
        <is>
          <t>HUMAIN</t>
        </is>
      </c>
      <c r="L3" s="13" t="inlineStr">
        <is>
          <t>Connaissance du parc applicatif interne.</t>
        </is>
      </c>
    </row>
    <row r="4">
      <c r="A4" s="8" t="inlineStr">
        <is>
          <t>1.3</t>
        </is>
      </c>
      <c r="B4" s="9" t="inlineStr">
        <is>
          <t>Produit</t>
        </is>
      </c>
      <c r="C4" s="9" t="inlineStr">
        <is>
          <t>Comment se comportent les fonctions principales de ce service en temps de réponse ?</t>
        </is>
      </c>
      <c r="D4" s="10" t="n"/>
      <c r="E4" s="9" t="inlineStr">
        <is>
          <t>1 — Lentes et visiblement défaillantes, sans raison identifiée
2 — Lenteurs fréquentes, aucune action engagée
3 — Fonctionnel, mais des améliorations évidentes restent à faire
4 — Correct — des optimisations ponctuelles ont déjà été faites
5 — Efficace et régulièrement passé en revue</t>
        </is>
      </c>
      <c r="F4" s="9" t="inlineStr">
        <is>
          <t>Temps de réponse uniquement (la charge machine est traitée en 3.1). Mesure : Lighthouse / Core Web Vitals côté affichage, temps de réponse d'API côté serveur. Le cran 5 exige une revue régulière documentée, pas une absence de plainte.</t>
        </is>
      </c>
      <c r="G4" s="9" t="inlineStr">
        <is>
          <t>Un code inefficace peut consommer 2 à 10× plus de CPU qu'un code bien écrit pour le même résultat. L'efficacité fonctionnelle est le levier d'impact le plus direct.</t>
        </is>
      </c>
      <c r="H4" s="11" t="inlineStr">
        <is>
          <t>Significatif</t>
        </is>
      </c>
      <c r="I4" s="9" t="inlineStr">
        <is>
          <t>Auditer et optimiser les fonctions lentes ou sous-performantes du service.</t>
        </is>
      </c>
      <c r="J4" s="9" t="inlineStr"/>
      <c r="K4" s="11" t="inlineStr">
        <is>
          <t>SEMI</t>
        </is>
      </c>
      <c r="L4" s="9" t="inlineStr">
        <is>
          <t>CWV / Lighthouse — affichage seulement, rien du back-office.</t>
        </is>
      </c>
    </row>
    <row r="5">
      <c r="A5" s="12" t="inlineStr">
        <is>
          <t>2.1</t>
        </is>
      </c>
      <c r="B5" s="13" t="inlineStr">
        <is>
          <t>Architecture</t>
        </is>
      </c>
      <c r="C5" s="13" t="inlineStr">
        <is>
          <t>Quel niveau de disponibilité ce service doit-il tenir ?</t>
        </is>
      </c>
      <c r="D5" s="10" t="n"/>
      <c r="E5" s="13" t="inlineStr">
        <is>
          <t>1 — Disponibilité permanente mondiale — la moindre coupure a des conséquences graves
2 — Haute disponibilité 24/7 exigée
3 — Des engagements de disponibilité existent, sans exigence permanente
4 — Disponibilité attendue en heures ouvrées seulement
5 — Peut s'arrêter sans conséquence — aucune contrainte</t>
        </is>
      </c>
      <c r="F5" s="13" t="inlineStr">
        <is>
          <t>Retenir la disponibilité exigée, pas celle constatée. Un service qui tourne en 99,99 % sans que personne ne l'exige se note sur l'exigence. Source : contrat de service, engagement écrit ; à défaut, le niveau que l'équipe déclare tenir, en le signalant. Doublon avec ease-advanced-10 (arbitrage 6).</t>
        </is>
      </c>
      <c r="G5" s="13" t="inlineStr">
        <is>
          <t>Les SLA élevés (99,99 %) exigent une redondance matérielle permanente, souvent sous-utilisée. Chaque « 9 » supplémentaire a un coût carbone quasi exponentiel.</t>
        </is>
      </c>
      <c r="H5" s="14" t="inlineStr">
        <is>
          <t>Significatif</t>
        </is>
      </c>
      <c r="I5" s="13" t="inlineStr">
        <is>
          <t>Réviser les exigences de disponibilité et supprimer la redondance matérielle non justifiée.</t>
        </is>
      </c>
      <c r="J5" s="13" t="inlineStr"/>
      <c r="K5" s="14" t="inlineStr">
        <is>
          <t>HUMAIN</t>
        </is>
      </c>
      <c r="L5" s="13" t="inlineStr">
        <is>
          <t>SLA contractuel — aucune mesure externe.</t>
        </is>
      </c>
    </row>
    <row r="6">
      <c r="A6" s="8" t="inlineStr">
        <is>
          <t>2.2</t>
        </is>
      </c>
      <c r="B6" s="9" t="inlineStr">
        <is>
          <t>Architecture</t>
        </is>
      </c>
      <c r="C6" s="9" t="inlineStr">
        <is>
          <t>Combien d'autres systèmes ou services doivent fonctionner pour que celui-ci marche correctement ?</t>
        </is>
      </c>
      <c r="D6" s="10" t="n"/>
      <c r="E6" s="9" t="inlineStr">
        <is>
          <t>1 — Interconnecté avec la quasi-totalité de l'organisation (accès, identité…)
2 — Nombreuses dépendances, dont plusieurs critiques
3 — Connecté à plusieurs systèmes, avec des dépendances importantes
4 — Une ou deux dépendances, non critiques
5 — Aucune connexion — fonctionne seul</t>
        </is>
      </c>
      <c r="F6" s="9" t="inlineStr">
        <is>
          <t>Compter les dépendances dont l'indisponibilité dégrade le service, pas tous les appels réseau. Inclure l'authentification et les bases partagées. Une dépendance est critique si son arrêt rend le service inutilisable. Source : schéma d'architecture ou entretien avec l'équipe.</t>
        </is>
      </c>
      <c r="G6" s="9" t="inlineStr">
        <is>
          <t>Un système fortement couplé est difficile à optimiser en isolation. Chaque dépendance ajoute des appels réseau, de la latence et une consommation induite difficilement contrôlable.</t>
        </is>
      </c>
      <c r="H6" s="11" t="inlineStr">
        <is>
          <t>Modéré</t>
        </is>
      </c>
      <c r="I6" s="9" t="inlineStr">
        <is>
          <t>Réduire le nombre de dépendances inter-services et limiter les appels réseau inutiles.</t>
        </is>
      </c>
      <c r="J6" s="9" t="inlineStr"/>
      <c r="K6" s="11" t="inlineStr">
        <is>
          <t>SEMI (faible)</t>
        </is>
      </c>
      <c r="L6" s="9" t="inlineStr">
        <is>
          <t>Domaines tiers au HAR — aveugle aux dépendances internes : s'abstenir plutôt que noter bas.</t>
        </is>
      </c>
    </row>
    <row r="7">
      <c r="A7" s="12" t="inlineStr">
        <is>
          <t>2.3</t>
        </is>
      </c>
      <c r="B7" s="13" t="inlineStr">
        <is>
          <t>Architecture</t>
        </is>
      </c>
      <c r="C7" s="13" t="inlineStr">
        <is>
          <t>Quel effort faut-il à une personne nouvelle pour comprendre l'architecture de ce service ?</t>
        </is>
      </c>
      <c r="D7" s="10" t="n"/>
      <c r="E7" s="13" t="inlineStr">
        <is>
          <t>1 — Très complexe — même les créateurs peinent à l'expliquer
2 — Plusieurs semaines d'accompagnement nécessaires
3 — Environ une semaine d'accompagnement
4 — Un ou deux jours de prise en main suffisent
5 — Très simple — explicable en quelques minutes</t>
        </is>
      </c>
      <c r="F7" s="13" t="inlineStr">
        <is>
          <t>Effort de prise en main : un fait observable dans l'équipe, pas une opinion. Prendre le délai réel constaté sur la dernière arrivée, si elle existe. Source : équipe de développement.</t>
        </is>
      </c>
      <c r="G7" s="13" t="inlineStr">
        <is>
          <t>Les architectures complexes consomment plus de ressources pour fonctionner et coûtent plus à maintenir. La simplicité est le meilleur allié de l'écoconception.</t>
        </is>
      </c>
      <c r="H7" s="14" t="inlineStr">
        <is>
          <t>Modéré</t>
        </is>
      </c>
      <c r="I7" s="13" t="inlineStr">
        <is>
          <t>Simplifier l'architecture — découper en modules indépendants et documenter les flux.</t>
        </is>
      </c>
      <c r="J7" s="13" t="inlineStr"/>
      <c r="K7" s="14" t="inlineStr">
        <is>
          <t>HUMAIN</t>
        </is>
      </c>
      <c r="L7" s="13" t="inlineStr">
        <is>
          <t>Organisation de l'équipe.</t>
        </is>
      </c>
    </row>
    <row r="8">
      <c r="A8" s="8" t="inlineStr">
        <is>
          <t>3.1</t>
        </is>
      </c>
      <c r="B8" s="9" t="inlineStr">
        <is>
          <t>Infrastructure</t>
        </is>
      </c>
      <c r="C8" s="9" t="inlineStr">
        <is>
          <t>Quelle est l'empreinte matérielle de ce service — serveurs, conteneurs, puissance de calcul ?</t>
        </is>
      </c>
      <c r="D8" s="10" t="n"/>
      <c r="E8" s="9" t="inlineStr">
        <is>
          <t>1 — Parmi les plus gourmandes de l'organisation
2 — Nettement au-dessus de la moyenne
3 — Dans la moyenne de l'organisation
4 — Légère — en dessous de la moyenne
5 — Très légère — quelques serveurs ou un petit service cloud</t>
        </is>
      </c>
      <c r="F8" s="9" t="inlineStr">
        <is>
          <t>Compter tous les environnements, production et hors production. Échelle relative à l'organisation : les scores ne sont pas comparables d'une organisation à l'autre (arbitrage 3). Source : inventaire d'infrastructure ou facture cloud.</t>
        </is>
      </c>
      <c r="G8" s="9" t="inlineStr">
        <is>
          <t>Les machines surdimensionnées tournent souvent à 10–15 % de charge. Réduire la taille de l'infrastructure est l'un des leviers d'impact carbone les plus immédiats.</t>
        </is>
      </c>
      <c r="H8" s="11" t="inlineStr">
        <is>
          <t>Déterminant</t>
        </is>
      </c>
      <c r="I8" s="9" t="inlineStr">
        <is>
          <t>Rightsizer l'infrastructure à la charge réelle — supprimer ou réduire les ressources surdimensionnées.</t>
        </is>
      </c>
      <c r="J8" s="9" t="inlineStr"/>
      <c r="K8" s="11" t="inlineStr">
        <is>
          <t>HUMAIN</t>
        </is>
      </c>
      <c r="L8" s="9" t="inlineStr">
        <is>
          <t>Inventaire / facture — hors de portée d'un scan.</t>
        </is>
      </c>
    </row>
    <row r="9">
      <c r="A9" s="12" t="inlineStr">
        <is>
          <t>3.2</t>
        </is>
      </c>
      <c r="B9" s="13" t="inlineStr">
        <is>
          <t>Infrastructure</t>
        </is>
      </c>
      <c r="C9" s="13" t="inlineStr">
        <is>
          <t>Dans quel pays ou quelle région ce service est-il hébergé ?</t>
        </is>
      </c>
      <c r="D9" s="10" t="n"/>
      <c r="E9" s="13" t="inlineStr">
        <is>
          <t>Score dérivé de l'intensité carbone (electricityMap.ts) :
1 — &gt; 500 gCO₂e/kWh
2 — 300 à 500
3 — 150 à 300
4 — 50 à 150
5 — ≤ 50 gCO₂e/kWh</t>
        </is>
      </c>
      <c r="F9" s="13" t="inlineStr">
        <is>
          <t>Noter la région de production dans la colonne CAS LIMITE / NOTES en attendant un champ dédié, puis choisir le cran selon la bande. Si multi-région : retenir la plus carbonée. Seuils EOF (750/500/300/200/100, trou entre 500 et 750) ≠ app (500/300/150/50) — arbitrage 2, à remonter (E2-9).</t>
        </is>
      </c>
      <c r="G9" s="13" t="inlineStr">
        <is>
          <t>L'intensité carbone de l'électricité varie de 1 à 10 selon le pays. Héberger en Europe du Nord plutôt qu'en Asie du Sud-Est peut diviser l'empreinte carbone par 5 à coût quasi identique.</t>
        </is>
      </c>
      <c r="H9" s="14" t="inlineStr">
        <is>
          <t>Déterminant</t>
        </is>
      </c>
      <c r="I9" s="13" t="inlineStr">
        <is>
          <t>Migrer l'hébergement vers une zone à électricité moins carbonée.</t>
        </is>
      </c>
      <c r="J9" s="13" t="inlineStr"/>
      <c r="K9" s="14" t="inlineStr">
        <is>
          <t>AUTO (réserve)</t>
        </is>
      </c>
      <c r="L9" s="13" t="inlineStr">
        <is>
          <t>IP / CDN → région → intensité carbone. Derrière un CDN, origine masquée : s'abstenir si incertain.</t>
        </is>
      </c>
    </row>
    <row r="10">
      <c r="A10" s="8" t="inlineStr">
        <is>
          <t>3.3</t>
        </is>
      </c>
      <c r="B10" s="9" t="inlineStr">
        <is>
          <t>Infrastructure</t>
        </is>
      </c>
      <c r="C10" s="9" t="inlineStr">
        <is>
          <t>Où en êtes-vous du traitement des problèmes de lenteur ou de consommation identifiés sur ce service ?</t>
        </is>
      </c>
      <c r="D10" s="10" t="n"/>
      <c r="E10" s="9" t="inlineStr">
        <is>
          <t>1 — Sujet récurrent dans l'équipe, jamais traité
2 — Problèmes identifiés, aucun n'est entré au backlog
3 — Quelques améliorations identifiées et backloguées
4 — Traitement engagé, corrections en cours
5 — Aucun problème connu</t>
        </is>
      </c>
      <c r="F10" s="9" t="inlineStr">
        <is>
          <t>Le critère porte sur le traitement, pas sur l'existence de problèmes. Si aucune mesure de performance n'existe, le signaler avec la réponse. Source : backlog produit.</t>
        </is>
      </c>
      <c r="G10" s="9" t="inlineStr">
        <is>
          <t>Les tickets de performance ignorés représentent du gaspillage de ressources documenté et quantifiable. Chaque ticket en attente est un surcoût énergétique continu.</t>
        </is>
      </c>
      <c r="H10" s="11" t="inlineStr">
        <is>
          <t>Déterminant</t>
        </is>
      </c>
      <c r="I10" s="9" t="inlineStr">
        <is>
          <t>Traiter les tickets de performance et de gaspillage identifiés.</t>
        </is>
      </c>
      <c r="J10" s="9" t="inlineStr"/>
      <c r="K10" s="11" t="inlineStr">
        <is>
          <t>HUMAIN</t>
        </is>
      </c>
      <c r="L10" s="9" t="inlineStr">
        <is>
          <t>Backlog — hors de portée d'un scan.</t>
        </is>
      </c>
    </row>
    <row r="11">
      <c r="A11" s="12" t="inlineStr">
        <is>
          <t>4.1</t>
        </is>
      </c>
      <c r="B11" s="13" t="inlineStr">
        <is>
          <t>Stockage &amp; Données</t>
        </is>
      </c>
      <c r="C11" s="13" t="inlineStr">
        <is>
          <t>Quel volume de données ce service stocke-t-il ?</t>
        </is>
      </c>
      <c r="D11" s="10" t="n"/>
      <c r="E11" s="13" t="inlineStr">
        <is>
          <t>1 — Massif — plusieurs téraoctets
2 — Important — centaines de gigaoctets
3 — Dans la moyenne de l'organisation
4 — Modeste — quelques gigaoctets
5 — Très peu — quelques mégaoctets</t>
        </is>
      </c>
      <c r="F11" s="13" t="inlineStr">
        <is>
          <t>Compter le volume utile, hors réplication et sauvegardes (le préciser si la mesure les inclut). Additionner tous les environnements. Échelle mixte absolu/relatif et trous entre ordres de grandeur (où tombe 40 Go ?) — arbitrage 3, premier candidat aux cas limites. Source : console BDD ou facture.</t>
        </is>
      </c>
      <c r="G11" s="13" t="inlineStr">
        <is>
          <t>Stocker des données a un coût énergétique permanent. 1 To ≈ 20 kWh/an, souvent ×3 pour la redondance — avant les sauvegardes.</t>
        </is>
      </c>
      <c r="H11" s="14" t="inlineStr">
        <is>
          <t>Déterminant</t>
        </is>
      </c>
      <c r="I11" s="13" t="inlineStr">
        <is>
          <t>Auditer le volume de données stockées et purger ce qui ne sert plus.</t>
        </is>
      </c>
      <c r="J11" s="13" t="inlineStr"/>
      <c r="K11" s="14" t="inlineStr">
        <is>
          <t>HUMAIN</t>
        </is>
      </c>
      <c r="L11" s="13" t="inlineStr">
        <is>
          <t>Console / facture — hors de portée d'un scan.</t>
        </is>
      </c>
    </row>
    <row r="12">
      <c r="A12" s="8" t="inlineStr">
        <is>
          <t>4.2</t>
        </is>
      </c>
      <c r="B12" s="9" t="inlineStr">
        <is>
          <t>Stockage &amp; Données</t>
        </is>
      </c>
      <c r="C12" s="9" t="inlineStr">
        <is>
          <t>Quel est le niveau d'automatisation du cycle de vie des données de ce service ?</t>
        </is>
      </c>
      <c r="D12" s="10" t="n"/>
      <c r="E12" s="9" t="inlineStr">
        <is>
          <t>1 — Aucune règle — les données s'accumulent indéfiniment
2 — Règles envisagées, jamais écrites
3 — Des règles existent, rarement suivies
4 — Règles appliquées, partiellement automatisées
5 — Cycle de vie strict, entièrement automatisé et contrôlé</t>
        </is>
      </c>
      <c r="F12" s="9" t="inlineStr">
        <is>
          <t>Couvre purge et archivage ensemble, sous l'angle de l'automatisation. Retenir 4 si les règles tournent mais nécessitent une intervention ; 5 si elles tournent seules et sont contrôlées. Source : politique de rétention, tâches planifiées.</t>
        </is>
      </c>
      <c r="G12" s="9" t="inlineStr">
        <is>
          <t>Sans politique d'archivage, les données s'accumulent indéfiniment. L'automatisation du cycle de vie est l'un des gains les plus durables et les moins risqués.</t>
        </is>
      </c>
      <c r="H12" s="11" t="inlineStr">
        <is>
          <t>Significatif</t>
        </is>
      </c>
      <c r="I12" s="9" t="inlineStr">
        <is>
          <t>Mettre en place une politique de cycle de vie des données avec archivage et purge automatiques.</t>
        </is>
      </c>
      <c r="J12" s="9" t="inlineStr"/>
      <c r="K12" s="11" t="inlineStr">
        <is>
          <t>HUMAIN</t>
        </is>
      </c>
      <c r="L12" s="9" t="inlineStr">
        <is>
          <t>Politique interne.</t>
        </is>
      </c>
    </row>
    <row r="13">
      <c r="A13" s="12" t="inlineStr">
        <is>
          <t>5.1</t>
        </is>
      </c>
      <c r="B13" s="13" t="inlineStr">
        <is>
          <t>Algorithme &amp; Code</t>
        </is>
      </c>
      <c r="C13" s="13" t="inlineStr">
        <is>
          <t>Quelle est l'intensité des traitements que ce service effectue ?</t>
        </is>
      </c>
      <c r="D13" s="10" t="n"/>
      <c r="E13" s="13" t="inlineStr">
        <is>
          <t>1 — Très lourds — calculs intensifs sur de grandes masses de données
2 — Traitements lourds réguliers
3 — Quelques traitements significatifs
4 — Traitements légers, ponctuels
5 — Minimaux — affichage ou transmission seulement</t>
        </is>
      </c>
      <c r="F13" s="13" t="inlineStr">
        <is>
          <t>Porte sur les traitements métier : calculs, agrégations, transformations, entraînements. Un service qui ne fait que lire et afficher se note 5, même à fort trafic (le matériel est en 3.1). « Lourd » vs « significatif » à borner par cas limite (US 2.28). Source : équipe, profil CPU si disponible.</t>
        </is>
      </c>
      <c r="G13" s="13" t="inlineStr">
        <is>
          <t>Un algorithme en O(n²) peut consommer 100× plus de CPU qu'un O(n log n) sur des données réelles. La complexité algorithmique a un impact direct et mesurable.</t>
        </is>
      </c>
      <c r="H13" s="14" t="inlineStr">
        <is>
          <t>Déterminant</t>
        </is>
      </c>
      <c r="I13" s="13" t="inlineStr">
        <is>
          <t>Réviser les algorithmes coûteux et réduire la complexité computationnelle des traitements.</t>
        </is>
      </c>
      <c r="J13" s="13" t="inlineStr"/>
      <c r="K13" s="14" t="inlineStr">
        <is>
          <t>HUMAIN</t>
        </is>
      </c>
      <c r="L13" s="13" t="inlineStr">
        <is>
          <t>Traitements serveur invisibles en boîte noire.</t>
        </is>
      </c>
    </row>
    <row r="14">
      <c r="A14" s="8" t="inlineStr">
        <is>
          <t>5.2</t>
        </is>
      </c>
      <c r="B14" s="9" t="inlineStr">
        <is>
          <t>Algorithme &amp; Code</t>
        </is>
      </c>
      <c r="C14" s="9" t="inlineStr">
        <is>
          <t>Quel est le niveau de friction des parcours utilisateurs principaux ? (fullstack, frontend)</t>
        </is>
      </c>
      <c r="D14" s="10" t="n"/>
      <c r="E14" s="9" t="inlineStr">
        <is>
          <t>1 — Les utilisateurs se perdent ou se plaignent — problèmes connus, non corrigés
2 — Frictions fréquentes, jamais mesurées
3 — Fonctionnel, quelques irritants connus
4 — Parcours revus — irritants résiduels mineurs
5 — Testé avec les utilisateurs — fluide et cohérent</t>
        </is>
      </c>
      <c r="F14" s="9" t="inlineStr">
        <is>
          <t>Se limiter aux parcours principaux. Indices mesurables : nombre d'étapes, allers-retours, rechargements par tâche accomplie. Le cran 5 exige un test utilisateur réalisé, pas une conviction interne.</t>
        </is>
      </c>
      <c r="G14" s="9" t="inlineStr">
        <is>
          <t>Les frictions UX génèrent des requêtes inutiles, des rechargements et des sessions prolongées par frustration. Une UX fluide réduit le nombre d'interactions, donc la consommation.</t>
        </is>
      </c>
      <c r="H14" s="11" t="inlineStr">
        <is>
          <t>Modéré</t>
        </is>
      </c>
      <c r="I14" s="9" t="inlineStr">
        <is>
          <t>Améliorer l'UX pour éliminer les rechargements inutiles et les parcours en erreur.</t>
        </is>
      </c>
      <c r="J14" s="9" t="inlineStr"/>
      <c r="K14" s="11" t="inlineStr">
        <is>
          <t>SEMI</t>
        </is>
      </c>
      <c r="L14" s="9" t="inlineStr">
        <is>
          <t>Requêtes / rechargements par parcours (HAR). La perception utilisateur reste hors de portée.</t>
        </is>
      </c>
    </row>
    <row r="15">
      <c r="A15" s="12" t="inlineStr">
        <is>
          <t>5.3</t>
        </is>
      </c>
      <c r="B15" s="13" t="inlineStr">
        <is>
          <t>Algorithme &amp; Code</t>
        </is>
      </c>
      <c r="C15" s="13" t="inlineStr">
        <is>
          <t>Quel est le niveau de confort d'usage sur les appareils les plus anciens de vos utilisateurs ? (fullstack, frontend)</t>
        </is>
      </c>
      <c r="D15" s="10" t="n"/>
      <c r="E15" s="13" t="inlineStr">
        <is>
          <t>1 — Incompatible — les utilisateurs ne peuvent pas s'en servir
2 — Utilisable au prix d'attentes très longues
3 — Utilisable, mais les tâches simples prennent plusieurs secondes
4 — Correct — ralentissements ponctuels
5 — Rapide et confortable, même sur les appareils de plus de 5 ans</t>
        </is>
      </c>
      <c r="F15" s="13" t="inlineStr">
        <is>
          <t>Évaluer sur le parc réel des utilisateurs, pas sur un appareil de test choisi. À défaut, définir un profil matériel de référence et le nommer. Mesure : Lighthouse en throttling CPU/réseau, poids du JavaScript. Seuil « 5 ans » sans profil matériel — arbitrage 4.</t>
        </is>
      </c>
      <c r="G15" s="13" t="inlineStr">
        <is>
          <t>Forcer le renouvellement des terminaux est l'un des impacts les plus lourds du numérique. La compatibilité avec le matériel ancien prolonge sa durée de vie.</t>
        </is>
      </c>
      <c r="H15" s="14" t="inlineStr">
        <is>
          <t>Significatif</t>
        </is>
      </c>
      <c r="I15" s="13" t="inlineStr">
        <is>
          <t>Optimiser la compatibilité avec les appareils anciens pour prolonger leur durée de vie.</t>
        </is>
      </c>
      <c r="J15" s="13" t="inlineStr"/>
      <c r="K15" s="14" t="inlineStr">
        <is>
          <t>SEMI</t>
        </is>
      </c>
      <c r="L15" s="13" t="inlineStr">
        <is>
          <t>CWV mobile, poids JS, throttling. Parc réel inconnu de l'agent.</t>
        </is>
      </c>
    </row>
    <row r="16">
      <c r="A16" s="8" t="inlineStr">
        <is>
          <t>6.1</t>
        </is>
      </c>
      <c r="B16" s="9" t="inlineStr">
        <is>
          <t>Facilité de changement</t>
        </is>
      </c>
      <c r="C16" s="9" t="inlineStr">
        <is>
          <t>Quel est le niveau d'accès de votre équipe au code de ce service ?</t>
        </is>
      </c>
      <c r="D16" s="10" t="n"/>
      <c r="E16" s="9" t="inlineStr">
        <is>
          <t>1 — Aucun accès — boîte noire totale
2 — Accès en lecture seule
3 — Accès partiel — certains modules seulement
4 — Accès complet, mais modification soumise à une validation externe
5 — Accès total — code entièrement ouvert et modifiable</t>
        </is>
      </c>
      <c r="F16" s="9" t="inlineStr">
        <is>
          <t>Porte sur l'accès en modification, pas en lecture : prérequis de toute optimisation. Progiciel sans accès au source : 1 si rien n'est modifiable, 2 si le paramétrage est le seul levier. Source : équipe, contrat éditeur.</t>
        </is>
      </c>
      <c r="G16" s="9" t="inlineStr">
        <is>
          <t>Sans accès au code, aucune optimisation n'est possible. Le contrôle du source est le prérequis absolu de tout projet d'écoconception.</t>
        </is>
      </c>
      <c r="H16" s="11" t="inlineStr">
        <is>
          <t>Modéré</t>
        </is>
      </c>
      <c r="I16" s="9" t="inlineStr">
        <is>
          <t>Récupérer l'accès complet au code source — prérequis à toute optimisation.</t>
        </is>
      </c>
      <c r="J16" s="9" t="inlineStr"/>
      <c r="K16" s="11" t="inlineStr">
        <is>
          <t>HUMAIN</t>
        </is>
      </c>
      <c r="L16" s="9" t="inlineStr">
        <is>
          <t>Contractuel / organisationnel.</t>
        </is>
      </c>
    </row>
    <row r="17">
      <c r="A17" s="12" t="inlineStr">
        <is>
          <t>6.2</t>
        </is>
      </c>
      <c r="B17" s="13" t="inlineStr">
        <is>
          <t>Facilité de changement</t>
        </is>
      </c>
      <c r="C17" s="13" t="inlineStr">
        <is>
          <t>Quel est le niveau d'autonomie technique de votre équipe sur ce service ?</t>
        </is>
      </c>
      <c r="D17" s="10" t="n"/>
      <c r="E17" s="13" t="inlineStr">
        <is>
          <t>1 — Personne ne peut intervenir sur ce service
2 — Une seule personne sait intervenir
3 — Connaissance partielle — intervention risquée, possible avec accompagnement
4 — Plusieurs personnes autonomes sur la majorité du service
5 — Équipe autonome — maîtrise complète, intervention en confiance</t>
        </is>
      </c>
      <c r="F17" s="13" t="inlineStr">
        <is>
          <t>Évaluer les compétences effectivement disponibles aujourd'hui, pas celles recrutables. Le cran 2 (une seule personne) se traite par transfert de connaissance, pas par formation — le distinguer du 3. Source : équipe et sa hiérarchie.</t>
        </is>
      </c>
      <c r="G17" s="13" t="inlineStr">
        <is>
          <t>La connaissance implicite d'un seul développeur parti bloque toute évolution. La disponibilité des compétences détermine concrètement la capacité à agir.</t>
        </is>
      </c>
      <c r="H17" s="14" t="inlineStr">
        <is>
          <t>Modéré</t>
        </is>
      </c>
      <c r="I17" s="13" t="inlineStr">
        <is>
          <t>Former l'équipe ou recruter les compétences pour maîtriser et faire évoluer ce service.</t>
        </is>
      </c>
      <c r="J17" s="13" t="inlineStr"/>
      <c r="K17" s="14" t="inlineStr">
        <is>
          <t>HUMAIN</t>
        </is>
      </c>
      <c r="L17" s="13" t="inlineStr">
        <is>
          <t>Organisationnel.</t>
        </is>
      </c>
    </row>
  </sheetData>
  <dataValidations count="1">
    <dataValidation sqref="D2 D3 D4 D5 D6 D7 D8 D9 D10 D11 D12 D13 D14 D15 D16 D17" showDropDown="0" showInputMessage="0" showErrorMessage="0" allowBlank="1" errorTitle="Réponse invalide" error="Choisir 1 à 5 ou « Je ne sais pas »." promptTitle="Réponse" prompt="1 à 5, ou « Je ne sais pas » (exclu du score)." type="list">
      <formula1>"1,2,3,4,5,Je ne sais pas"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8"/>
  <sheetViews>
    <sheetView workbookViewId="0">
      <selection activeCell="A1" sqref="A1"/>
    </sheetView>
  </sheetViews>
  <sheetFormatPr baseColWidth="8" defaultRowHeight="15"/>
  <cols>
    <col width="3" customWidth="1" min="1" max="1"/>
    <col width="28" customWidth="1" min="2" max="2"/>
    <col width="14" customWidth="1" min="3" max="3"/>
    <col width="16" customWidth="1" min="4" max="4"/>
    <col width="60" customWidth="1" min="5" max="5"/>
  </cols>
  <sheetData>
    <row r="2">
      <c r="B2" s="1" t="inlineStr">
        <is>
          <t>Synthèse du diagnostic</t>
        </is>
      </c>
    </row>
    <row r="4">
      <c r="B4" s="15" t="inlineStr">
        <is>
          <t>Pilier</t>
        </is>
      </c>
      <c r="C4" s="15" t="inlineStr">
        <is>
          <t>Score (1–5)</t>
        </is>
      </c>
      <c r="D4" s="15" t="inlineStr">
        <is>
          <t>Réponses</t>
        </is>
      </c>
      <c r="E4" t="inlineStr"/>
    </row>
    <row r="5">
      <c r="B5" s="16" t="inlineStr">
        <is>
          <t>Produit</t>
        </is>
      </c>
      <c r="C5" s="17">
        <f>IFERROR(ROUND(AVERAGEIFS('0-Diagnostic rapide'!$D$2:$D$17,'0-Diagnostic rapide'!$B$2:$B$17,B5),2),"—")</f>
        <v/>
      </c>
      <c r="D5" s="16">
        <f>COUNTIFS('0-Diagnostic rapide'!$B$2:$B$17,B5,'0-Diagnostic rapide'!$D$2:$D$17,"&gt;0")&amp;" / "&amp;COUNTIFS('0-Diagnostic rapide'!$B$2:$B$17,B5)</f>
        <v/>
      </c>
    </row>
    <row r="6">
      <c r="B6" s="16" t="inlineStr">
        <is>
          <t>Architecture</t>
        </is>
      </c>
      <c r="C6" s="17">
        <f>IFERROR(ROUND(AVERAGEIFS('0-Diagnostic rapide'!$D$2:$D$17,'0-Diagnostic rapide'!$B$2:$B$17,B6),2),"—")</f>
        <v/>
      </c>
      <c r="D6" s="16">
        <f>COUNTIFS('0-Diagnostic rapide'!$B$2:$B$17,B6,'0-Diagnostic rapide'!$D$2:$D$17,"&gt;0")&amp;" / "&amp;COUNTIFS('0-Diagnostic rapide'!$B$2:$B$17,B6)</f>
        <v/>
      </c>
    </row>
    <row r="7">
      <c r="B7" s="16" t="inlineStr">
        <is>
          <t>Infrastructure</t>
        </is>
      </c>
      <c r="C7" s="17">
        <f>IFERROR(ROUND(AVERAGEIFS('0-Diagnostic rapide'!$D$2:$D$17,'0-Diagnostic rapide'!$B$2:$B$17,B7),2),"—")</f>
        <v/>
      </c>
      <c r="D7" s="16">
        <f>COUNTIFS('0-Diagnostic rapide'!$B$2:$B$17,B7,'0-Diagnostic rapide'!$D$2:$D$17,"&gt;0")&amp;" / "&amp;COUNTIFS('0-Diagnostic rapide'!$B$2:$B$17,B7)</f>
        <v/>
      </c>
    </row>
    <row r="8">
      <c r="B8" s="16" t="inlineStr">
        <is>
          <t>Stockage &amp; Données</t>
        </is>
      </c>
      <c r="C8" s="17">
        <f>IFERROR(ROUND(AVERAGEIFS('0-Diagnostic rapide'!$D$2:$D$17,'0-Diagnostic rapide'!$B$2:$B$17,B8),2),"—")</f>
        <v/>
      </c>
      <c r="D8" s="16">
        <f>COUNTIFS('0-Diagnostic rapide'!$B$2:$B$17,B8,'0-Diagnostic rapide'!$D$2:$D$17,"&gt;0")&amp;" / "&amp;COUNTIFS('0-Diagnostic rapide'!$B$2:$B$17,B8)</f>
        <v/>
      </c>
    </row>
    <row r="9">
      <c r="B9" s="16" t="inlineStr">
        <is>
          <t>Algorithme &amp; Code</t>
        </is>
      </c>
      <c r="C9" s="17">
        <f>IFERROR(ROUND(AVERAGEIFS('0-Diagnostic rapide'!$D$2:$D$17,'0-Diagnostic rapide'!$B$2:$B$17,B9),2),"—")</f>
        <v/>
      </c>
      <c r="D9" s="16">
        <f>COUNTIFS('0-Diagnostic rapide'!$B$2:$B$17,B9,'0-Diagnostic rapide'!$D$2:$D$17,"&gt;0")&amp;" / "&amp;COUNTIFS('0-Diagnostic rapide'!$B$2:$B$17,B9)</f>
        <v/>
      </c>
    </row>
    <row r="10">
      <c r="B10" s="16" t="inlineStr">
        <is>
          <t>Facilité de changement</t>
        </is>
      </c>
      <c r="C10" s="17">
        <f>IFERROR(ROUND(AVERAGEIFS('0-Diagnostic rapide'!$D$2:$D$17,'0-Diagnostic rapide'!$B$2:$B$17,B10),2),"—")</f>
        <v/>
      </c>
      <c r="D10" s="16">
        <f>COUNTIFS('0-Diagnostic rapide'!$B$2:$B$17,B10,'0-Diagnostic rapide'!$D$2:$D$17,"&gt;0")&amp;" / "&amp;COUNTIFS('0-Diagnostic rapide'!$B$2:$B$17,B10)</f>
        <v/>
      </c>
    </row>
    <row r="12">
      <c r="B12" s="18" t="inlineStr">
        <is>
          <t>Score global</t>
        </is>
      </c>
      <c r="C12" s="19">
        <f>IFERROR(ROUND(AVERAGE(C5:C10),2),"—")</f>
        <v/>
      </c>
      <c r="D12" s="20" t="inlineStr">
        <is>
          <t>Moyenne des piliers ayant au moins une réponse numérique — même règle que computeResults.ts.</t>
        </is>
      </c>
    </row>
    <row r="14">
      <c r="B14" s="16" t="inlineStr">
        <is>
          <t>Réponses données</t>
        </is>
      </c>
      <c r="C14" s="16">
        <f>COUNT('0-Diagnostic rapide'!$D$2:$D$17)+COUNTIF('0-Diagnostic rapide'!$D$2:$D$17,"Je ne sais pas")&amp;" / 16"</f>
        <v/>
      </c>
    </row>
    <row r="15">
      <c r="B15" s="16" t="inlineStr">
        <is>
          <t>Taux de réponses connues</t>
        </is>
      </c>
      <c r="C15" s="16">
        <f>ROUND(COUNT('0-Diagnostic rapide'!$D$2:$D$17)/16*100,0)&amp;" %"</f>
        <v/>
      </c>
      <c r="D15" s="20" t="inlineStr">
        <is>
          <t>Réponses 1–5 sur 16 critères. Indicateur de confiance du diagnostic, distinct du score — un service dont l'équipe ignore la moitié des réponses est un constat en soi.</t>
        </is>
      </c>
    </row>
    <row r="16">
      <c r="B16" s="16" t="inlineStr">
        <is>
          <t>« Je ne sais pas »</t>
        </is>
      </c>
      <c r="C16" s="16">
        <f>COUNTIF('0-Diagnostic rapide'!$D$2:$D$17,"Je ne sais pas")&amp;" / 16"</f>
        <v/>
      </c>
    </row>
    <row r="18">
      <c r="B18" s="2" t="inlineStr">
        <is>
          <t>Note : pour un service backend, 5.2 et 5.3 ne s'appliquent pas — laisser vide ; le pilier Algorithme &amp; Code n'est alors noté que sur 5.1 (limite de comparabilité documentée, US 2.30).</t>
        </is>
      </c>
    </row>
  </sheetData>
  <mergeCells count="1">
    <mergeCell ref="B18:E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5" customWidth="1" min="1" max="1"/>
    <col width="100" customWidth="1" min="2" max="2"/>
    <col width="14" customWidth="1" min="3" max="3"/>
  </cols>
  <sheetData>
    <row r="1">
      <c r="A1" s="21" t="inlineStr">
        <is>
          <t>#</t>
        </is>
      </c>
      <c r="B1" s="21" t="inlineStr">
        <is>
          <t>Point à trancher (aucun ne l'est)</t>
        </is>
      </c>
      <c r="C1" s="21" t="inlineStr">
        <is>
          <t>Portée</t>
        </is>
      </c>
    </row>
    <row r="2">
      <c r="A2" s="22" t="inlineStr">
        <is>
          <t>1</t>
        </is>
      </c>
      <c r="B2" s="9" t="inlineStr">
        <is>
          <t>Produit 3 : la découpe « temps de réponse seul » perd l'efficacité par requête (un service sobre en matériel mais gourmand par appel n'est plus capté). Assumer, ou scinder — le rapide passerait à 17 critères.</t>
        </is>
      </c>
      <c r="C2" s="16" t="inlineStr">
        <is>
          <t>1 critère</t>
        </is>
      </c>
    </row>
    <row r="3">
      <c r="A3" s="22" t="inlineStr">
        <is>
          <t>2</t>
        </is>
      </c>
      <c r="B3" s="9" t="inlineStr">
        <is>
          <t>Infrastructure 2 : faire entrer sa réponse dans le score du pilier et le score global, ou assumer qu'elle n'alimente que le plan d'action ? Et trancher les seuils : l'EOF pose 750/500/300/200/100 avec un trou entre 500 et 750 ; l'app applique 500/300/150/50.</t>
        </is>
      </c>
      <c r="C3" s="16" t="inlineStr">
        <is>
          <t>1 critère</t>
        </is>
      </c>
    </row>
    <row r="4">
      <c r="A4" s="22" t="inlineStr">
        <is>
          <t>3</t>
        </is>
      </c>
      <c r="B4" s="9" t="inlineStr">
        <is>
          <t>Stockage 1 et Infrastructure 1 : échelle absolue ou relative à l'organisation ? En l'état, le cran 3 n'est pas comparable aux autres, et les ordres de grandeur laissent des trous.</t>
        </is>
      </c>
      <c r="C4" s="16" t="inlineStr">
        <is>
          <t>2 critères</t>
        </is>
      </c>
    </row>
    <row r="5">
      <c r="A5" s="22" t="inlineStr">
        <is>
          <t>4</t>
        </is>
      </c>
      <c r="B5" s="9" t="inlineStr">
        <is>
          <t>Algo 3 : quel profil matériel de référence derrière « appareils de plus de 5 ans » ?</t>
        </is>
      </c>
      <c r="C5" s="16" t="inlineStr">
        <is>
          <t>1 critère</t>
        </is>
      </c>
    </row>
    <row r="6">
      <c r="A6" s="22" t="inlineStr">
        <is>
          <t>5</t>
        </is>
      </c>
      <c r="B6" s="9" t="inlineStr">
        <is>
          <t>Noms de piliers : trois en anglais dans le rapide, un dans l'avancé (Algo &amp; Code), traductions non coïncidentes. Harmoniser en français, y compris Algo &amp; Code.</t>
        </is>
      </c>
      <c r="C6" s="16" t="inlineStr">
        <is>
          <t>3 piliers</t>
        </is>
      </c>
    </row>
    <row r="7">
      <c r="A7" s="22" t="inlineStr">
        <is>
          <t>6</t>
        </is>
      </c>
      <c r="B7" s="9" t="inlineStr">
        <is>
          <t>Doublons rapide ↔ avancé : Architecture 1 ≡ ease-advanced-10 et Infrastructure 2 ≡ infrastructure-advanced-3. Dédupliquer, ou écrire une règle de cohérence entre les deux réponses ?</t>
        </is>
      </c>
      <c r="C7" s="16" t="inlineStr">
        <is>
          <t>2 critères</t>
        </is>
      </c>
    </row>
    <row r="8">
      <c r="A8" s="22" t="inlineStr">
        <is>
          <t>7</t>
        </is>
      </c>
      <c r="B8" s="9" t="inlineStr">
        <is>
          <t>Échelle : cinq libellés (adaptés de l'EOF, comme ici) ou réduction à trois crans nommés ?</t>
        </is>
      </c>
      <c r="C8" s="16" t="inlineStr">
        <is>
          <t>16 critères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2026-08-17T09:25:35Z</dcterms:created>
  <dcterms:modified xsi:type="dcterms:W3CDTF">2026-08-17T09:25:35Z</dcterms:modified>
</cp:coreProperties>
</file>