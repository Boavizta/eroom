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 À LIRE" sheetId="1" r:id="rId5"/>
    <sheet state="visible" name="🏦 0-Diagnostic rapide" sheetId="2" r:id="rId6"/>
    <sheet state="visible" name="🛖 1-Produit" sheetId="3" r:id="rId7"/>
    <sheet state="visible" name="🗺️ 2-Architecture" sheetId="4" r:id="rId8"/>
    <sheet state="visible" name="🏢 3-Infrastructure" sheetId="5" r:id="rId9"/>
    <sheet state="visible" name="💾 4-Stockage et données" sheetId="6" r:id="rId10"/>
    <sheet state="visible" name="👨‍💻5-Algo &amp; Code" sheetId="7" r:id="rId11"/>
    <sheet state="visible" name="🛠6-Facilité de changement" sheetId="8" r:id="rId12"/>
    <sheet state="visible" name="🕸️ 7-Synthèse" sheetId="9" r:id="rId13"/>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tc={357a54ca-af79-4290-a4f3-05273891ac10}</author>
    <author>tc={82316fbb-426b-4c84-a38b-c5ca53990b01}</author>
    <author>tc={ae17a05d-4fc2-4494-92b7-650e73b6d005}</author>
    <author>tc={e8c2cac2-5fb2-430b-9123-cf73c5dfd119}</author>
  </authors>
  <commentList>
    <comment authorId="0" xr:uid="{357a54ca-af79-4290-a4f3-05273891ac10}" ref="B7">
      <text>
        <t xml:space="preserve">[Threaded comment]
 Your version of Excel allows you to read this threaded comment; however, any edits to it will get removed if the file is opened in a newer version of Excel. Learn more: https://go.microsoft.com/fwlink/?linkid=870924
Comment:
	Cet onglet propose un outil de diagnostic rapide permettant d'évaluer les produits numériques au sein du système d'information et d'identifier ceux présentant le plus fort potentiel d'optimisation.
</t>
      </text>
    </comment>
    <comment authorId="1" xr:uid="{82316fbb-426b-4c84-a38b-c5ca53990b01}" ref="E12">
      <text>
        <t xml:space="preserve">[Threaded comment]
 Your version of Excel allows you to read this threaded comment; however, any edits to it will get removed if the file is opened in a newer version of Excel. Learn more: https://go.microsoft.com/fwlink/?linkid=870924
Comment:
	A inversé pour avoir :
1 - Le produit n'est connecté à aucun autre système
…
5 - Le produit est connecté à la plupart des autres systèmes du SI (par exemple : authentification et autorisation)
</t>
      </text>
    </comment>
    <comment authorId="2" xr:uid="{ae17a05d-4fc2-4494-92b7-650e73b6d005}" ref="F4">
      <text>
        <t xml:space="preserve">[Threaded comment]
 Your version of Excel allows you to read this threaded comment; however, any edits to it will get removed if the file is opened in a newer version of Excel. Learn more: https://go.microsoft.com/fwlink/?linkid=870924
Comment:
	Un score plus élevé reflète un potentiel d'optimisation plus important.
</t>
      </text>
    </comment>
    <comment authorId="3" xr:uid="{e8c2cac2-5fb2-430b-9123-cf73c5dfd119}" ref="C3">
      <text>
        <t xml:space="preserve">[Threaded comment]
 Your version of Excel allows you to read this threaded comment; however, any edits to it will get removed if the file is opened in a newer version of Excel. Learn more: https://go.microsoft.com/fwlink/?linkid=870924
Comment:
	Repérez les meilleures opportunités d'optimisation.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tc={2168a490-8191-4d86-bced-519fe46aefa0}</author>
  </authors>
  <commentList>
    <comment authorId="0" xr:uid="{2168a490-8191-4d86-bced-519fe46aefa0}" ref="D10">
      <text>
        <t xml:space="preserve">[Threaded comment]
 Your version of Excel allows you to read this threaded comment; however, any edits to it will get removed if the file is opened in a newer version of Excel. Learn more: https://go.microsoft.com/fwlink/?linkid=870924
Comment:
	Il me semble qu'il s'agit plutot du contenu de la cellule 'méthode d'évaluation'
Reply:
	En effet, bien vu Morgane.
Je l'ai corrigé sur la version française et sur la version anglaise en même temps 😉.
</t>
      </text>
    </comment>
  </commentList>
</comments>
</file>

<file path=xl/sharedStrings.xml><?xml version="1.0" encoding="utf-8"?>
<sst xmlns="http://schemas.openxmlformats.org/spreadsheetml/2006/main" count="503" uniqueCount="335">
  <si>
    <t>🗺️ Architecture</t>
  </si>
  <si>
    <t>Potentiel d'optimisation</t>
  </si>
  <si>
    <t>🎯 Objectif du cadre d'optimisation EROOM</t>
  </si>
  <si>
    <t>🛖 Produit</t>
  </si>
  <si>
    <t>Ce diagnostic évalue la maturité d'un service numérique afin d'identifier ses principaux leviers d'optimisation : algorithme, code, architecture, opérations, données, hébergement, etc.</t>
  </si>
  <si>
    <t>Chaque question porte sur un facteur influençant la performance, l'efficacité ou la maintenabilité.</t>
  </si>
  <si>
    <t>Le diagnostic n'est pas une note de performance : il aide à déterminer les priorités d'action. Il n'y a pas de « bonnes » ou de « mauvaises » notes, seulement des possibilités d'amélioration.</t>
  </si>
  <si>
    <t>📊 Échelle de notation</t>
  </si>
  <si>
    <t>Pour chaque critère, attribuez une note de 1 à 5 en fonction du niveau actuel de maîtrise.</t>
  </si>
  <si>
    <t>1 = non maîtrisé / inconnu</t>
  </si>
  <si>
    <t>5 = maîtrisé et mesuré</t>
  </si>
  <si>
    <t>Chaque question contribue de manière égale au score global, qui est ensuite converti en pourcentage de potentiel d'optimisation (0 % à 100 %).</t>
  </si>
  <si>
    <t>Ce pourcentage reflète la marge d'amélioration restante pour le service.</t>
  </si>
  <si>
    <t>Un score individuel faible met en évidence une possibilité d'amélioration, tandis qu'un score élevé indique que de bonnes pratiques sont déjà en place.</t>
  </si>
  <si>
    <t>🧮 Interprétation des scores</t>
  </si>
  <si>
    <t>Le score total est exprimé en pourcentage du potentiel d'optimisation.</t>
  </si>
  <si>
    <t>• Pourcentage élevé → fort potentiel d'amélioration (technique, organisationnel ou environnemental).</t>
  </si>
  <si>
    <t>• Faible pourcentage → service déjà mature ou efficace.</t>
  </si>
  <si>
    <t>Le diagnostic n'attribue pas de note de performance.</t>
  </si>
  <si>
    <t>Il est conçu pour hiérarchiser les actions et identifier les domaines dans lesquels les efforts d'amélioration auront le plus d'impact.</t>
  </si>
  <si>
    <t>Il n'y a pas de « bons » ou de « mauvais » résultats, seulement des occasions d'agir.</t>
  </si>
  <si>
    <t>💡 Pour qui ?</t>
  </si>
  <si>
    <t>Le diagnostic rapide EROOM est conçu pour être léger et accessible, mais il nécessite une compréhension minimale du contexte technique.</t>
  </si>
  <si>
    <t>Cela peut être réalisée par :</t>
  </si>
  <si>
    <t>• une personne familiarisée avec l'environnement technique, capable d'évaluer la maturité des pratiques actuelles ;</t>
  </si>
  <si>
    <t>• un duo technique-produit, pour croiser les points de vue et assurer l'alignement entre les priorités techniques et fonctionnelles ;</t>
  </si>
  <si>
    <t>💡 Comment utiliser</t>
  </si>
  <si>
    <t>Un diagnostic correspond à un seul service numérique.</t>
  </si>
  <si>
    <t>Une organisation peut donc effectuer plusieurs diagnostics rapides afin de dresser une cartographie complète de son système d'information et d'identifier les domaines dans lesquels il convient d'agir en priorité.</t>
  </si>
  <si>
    <t>Étape 1 - Dupliquez le fichier</t>
  </si>
  <si>
    <t>🏦  Diagnostic rapide</t>
  </si>
  <si>
    <t>Cet outil est fourni sous forme de feuille de calcul Google Sheets.</t>
  </si>
  <si>
    <t>Identifiez les meilleures opportunités d'optimisation.</t>
  </si>
  <si>
    <t>Commencez par dupliquer le fichier pour votre usage personnel afin de pouvoir saisir vos réponses sans modifier le modèle original.</t>
  </si>
  <si>
    <t>Étape 2 - Définir le périmètre</t>
  </si>
  <si>
    <t>Le diagnostic est effectué pour un service numérique, une plateforme ou l'ensemble du système d'information.</t>
  </si>
  <si>
    <t>Chaque service évalué doit disposer de sa propre fiche dédiée.</t>
  </si>
  <si>
    <t>Étape 4 - Répondez aux questions - 0 - Diagnostic rapide</t>
  </si>
  <si>
    <t>Attribuez une note de 1 à 5 à chaque question, en fonction des informations disponibles.</t>
  </si>
  <si>
    <t>5 = mastered, measured, optimised</t>
  </si>
  <si>
    <t>En cas de doute, sélectionnez 1 (« Je ne sais pas ») ou choisissez une note prudente, et notez le point à clarifier ultérieurement.</t>
  </si>
  <si>
    <t>Vous pouvez ignorer n'importe quel critère en définissant son poids sur « Sans objet ».</t>
  </si>
  <si>
    <t>Si le score du diagnostic rapide est très faible, il n'est pas nécessaire de poursuivre les étapes détaillées. Le potentiel d'optimisation est soit déjà faible, soit trop difficile à atteindre, il est donc plus efficace de se concentrer sur d'autres services.</t>
  </si>
  <si>
    <t>Étape 5 - Répondez aux questions - 1 - Produit à  - 5 - Algo&amp;Code</t>
  </si>
  <si>
    <t>✅ Force confirmée = déjà traitée, aucune amélioration potentielle possible.</t>
  </si>
  <si>
    <t>💡 Potentiel d'amélioration identifié = pas entièrement exploité, une marge d'amélioration significative subsiste.</t>
  </si>
  <si>
    <t>Étape 6 - Répondez aux questions - 6 - Facilité du changement</t>
  </si>
  <si>
    <t>🟢 Facile à modifier = peut être mis à jour avec un minimum d'obstacles.</t>
  </si>
  <si>
    <t>🟡 Effort modéré = apporter un changement serait un défi réalisable.</t>
  </si>
  <si>
    <t>🔴 Difficile à changer = la mise en œuvre du changement serait difficile.</t>
  </si>
  <si>
    <t>Étape 7 - Collaborer entre les différents rôles</t>
  </si>
  <si>
    <t>Réalisez le diagnostic avec les représentants techniques, produits et développement durable (RSE) afin de parvenir à une compréhension commune, et non pour noter les équipes.</t>
  </si>
  <si>
    <t>L'objectif est de parvenir à une compréhension commune, et non d'attribuer une note de performance.</t>
  </si>
  <si>
    <t>Faible score → service mature, déjà efficace.</t>
  </si>
  <si>
    <t>Score élevé → fort potentiel d'optimisation (technique, organisationnelle ou environnementale).</t>
  </si>
  <si>
    <t>Étape 7 - Utilisez les résultats</t>
  </si>
  <si>
    <t>Comparez les résultats entre les différents services.</t>
  </si>
  <si>
    <t>Ceux qui obtiennent les meilleurs scores deviennent les candidats prioritaires pour une analyse plus approfondie dans le cadre du programme EROOM.</t>
  </si>
  <si>
    <t>Licence CC-BY-SA</t>
  </si>
  <si>
    <t>« Cette licence permet aux réutilisateurs de distribuer, remixer, adapter et développer le contenu sur tout support ou format, à condition que le créateur soit mentionné.</t>
  </si>
  <si>
    <t>La licence autorise l'utilisation commerciale. Si vous remixez, adaptez ou développez le contenu, vous devez accorder une licence au contenu modifié selon des conditions identiques. »</t>
  </si>
  <si>
    <t>Un score plus élevé reflète un potentiel d'optimisation plus important.</t>
  </si>
  <si>
    <t>Score</t>
  </si>
  <si>
    <t>Weight</t>
  </si>
  <si>
    <t>Weighted Score</t>
  </si>
  <si>
    <t>🏢 Infrastructure</t>
  </si>
  <si>
    <t>ID</t>
  </si>
  <si>
    <t>Cet onglet propose un outil de diagnostic rapide permettant d'évaluer les produits numériques dans l'ensemble du système d'information et d'identifier ceux qui présentent le plus grand potentiel d'optimisation.</t>
  </si>
  <si>
    <t>CRITÈRE</t>
  </si>
  <si>
    <t>EXPLICATION SUPPLÉMENTAIRE</t>
  </si>
  <si>
    <t>✏️ ÉVALUATION</t>
  </si>
  <si>
    <t>MÉTHODES D'ÉVALUATION</t>
  </si>
  <si>
    <t>NIVEAU D'IMPACT</t>
  </si>
  <si>
    <t>2.1</t>
  </si>
  <si>
    <t>1.1</t>
  </si>
  <si>
    <t>Le produit utilise-t-il des technologies gourmandes ?</t>
  </si>
  <si>
    <t>Existe-t-il un moyen simple pour réaliser cette action ?</t>
  </si>
  <si>
    <t>Si le produit utilise des technologies lourdes telles que l'IA générative ou la blockchain, il peut être possible de le remplacer ou d'utiliser des implémentations plus efficaces.</t>
  </si>
  <si>
    <t>S'il existe déjà un moyen de le faire, le moyen numérique apporte-t-il une valeur ajoutée à l'utilisateur ?</t>
  </si>
  <si>
    <t>0.1</t>
  </si>
  <si>
    <t>La disparition du service numérique aurait-elle un impact important ?</t>
  </si>
  <si>
    <t>✅ Point fort confirmé</t>
  </si>
  <si>
    <t>Le critère est validé si :
L'équipe a identifié une solution non numérique ou existante plus simple et démontré que la version numérique apporte clairement une valeur ajoutée par rapport à celle-ci (gain de temps, accessibilité, réduction de l'impact matériel).</t>
  </si>
  <si>
    <t>1 - Impact nul ou négligeable
2 - Impact limité sur un petit groupe d'utilisateurs ou de processus
3 - Impact modéré, mais des solutions de contournement existent
4 - Impact significatif sur les activités principales
5 - Impact critique (opérations bloquées, risque majeur pour l'entreprise ou l'infrastructure informatique)</t>
  </si>
  <si>
    <t>Le critère est validé si la pile technique du projet ne comprend pas d'éléments lourds (tels que  LLM ou blockchain basée sur la preuve) pouvant être remplacés par des alternatives plus légères.</t>
  </si>
  <si>
    <t>Déterminant</t>
  </si>
  <si>
    <t>Significatif</t>
  </si>
  <si>
    <t>La facture peut-elle être réduite ?</t>
  </si>
  <si>
    <t>Le déploiement d'une stratégie FinOps/GreenOps permettra au produit d'utiliser moins de ressources.
Presque toutes les pratiques FinOps (localisation des composants sous-utilisés, utilisation d'instances spot, ajustement de la taille des composants, utilisation de services gérés, etc.) permettent de réduire l'utilisation des ressources et, par conséquent, l'impact environnemental. Une stratégie visant à réduire l'impact environnemental est appelée GreenOps.</t>
  </si>
  <si>
    <t>Le point fort est confirmée si une stratégie est en place, sinon il existe un potentiel d'amélioration.</t>
  </si>
  <si>
    <t>1.2</t>
  </si>
  <si>
    <t>Les utilisateurs cibles, avec leurs besoins professionnels, leurs appareils types et leurs attentes en matière d'ergonomie, sont-ils bien connus ?</t>
  </si>
  <si>
    <t>0.2</t>
  </si>
  <si>
    <t>Le produit risque de ne pas être bien conçu si les utilisateurs cibles ne sont pas bien connus, ou mieux encore, impliqués dans le projet. Par exemple, les parcours utilisateurs pourraient être fastidieux ou la stratégie de compatibilité pourrait être inadéquate.</t>
  </si>
  <si>
    <t>Y a-t-il des fonctionnalités redondantes ou des applications en double dans le système ?</t>
  </si>
  <si>
    <t>💡 Potentiel d'amélioration identifié</t>
  </si>
  <si>
    <t>Le critère est validé si :
Les besoins et les contextes des utilisateurs sont documentés à l'aide de personas, d'entretiens, d'analyses d'utilisation, et les appareils courants sont bien connus et pris en compte dans la conception.</t>
  </si>
  <si>
    <t>2.2</t>
  </si>
  <si>
    <t>1 - Quelque chose de très similaire existe déjà ailleurs (même fonctionnalité ou même code).
2 - Une partie existe déjà ailleurs.
3 - Il existe de petites similitudes, mais rien de majeur.
4 - Presque aucune similitude avec d'autres produits ou codes.
5 - Totalement unique ; rien de similaire n'existe.</t>
  </si>
  <si>
    <t>Il n'y a pas de stratégie de compatibilité.</t>
  </si>
  <si>
    <t>Le service doit être compatible avec tous les appareils dont disposent les utilisateurs afin d'éviter que ces appareils ne deviennent obsolètes.</t>
  </si>
  <si>
    <t>0.3</t>
  </si>
  <si>
    <t>Les composants principaux sont-ils soumis à des contraintes de haute disponibilité ?</t>
  </si>
  <si>
    <t>Il existe un potentiel d'amélioration si le projet n'utilise pas d'outils d'élasticité et si la charge n'est pas constante.
 Le service n'est pas compatible avec tous les appareils ciblés ou la liste des appareils ciblés n'est pas connue.</t>
  </si>
  <si>
    <t>1.3</t>
  </si>
  <si>
    <t>Les mises à jour des nouvelles fonctionnalités sont-elles obligatoires pour tous les appareils, quel que soit leur système d'exploitation ou leur navigateur ?</t>
  </si>
  <si>
    <t>Les nouvelles fonctionnalités alourdissent l'application. Sur les appareils plus anciens, les utilisateurs peuvent préférer conserver un produit plus simple, plus performant et moins gourmand en ressources.</t>
  </si>
  <si>
    <r>
      <rPr>
        <rFont val="Karla"/>
        <color rgb="FF233955"/>
        <sz val="12.0"/>
      </rPr>
      <t xml:space="preserve">1 - 7 jours sur 7, 24 heures sur 24 - 99,99 % - Couverture internationale
2 - 7 jours sur 7, 24 heures sur 24 - 99 %
3 - Certains SLA.
4 - 5 jours sur 7, 8 heures sur 24 - Pas de </t>
    </r>
    <r>
      <rPr>
        <rFont val="Karla"/>
        <color rgb="FF1155CC"/>
        <sz val="12.0"/>
        <u/>
      </rPr>
      <t>SLA</t>
    </r>
    <r>
      <rPr>
        <rFont val="Karla"/>
        <color rgb="FF233955"/>
        <sz val="12.0"/>
      </rPr>
      <t xml:space="preserve"> - Pas de </t>
    </r>
    <r>
      <rPr>
        <rFont val="Karla"/>
        <color rgb="FF1155CC"/>
        <sz val="12.0"/>
        <u/>
      </rPr>
      <t>Plan de reprise d'activité (DRP)</t>
    </r>
    <r>
      <rPr>
        <rFont val="Karla"/>
        <color rgb="FF233955"/>
        <sz val="12.0"/>
      </rPr>
      <t xml:space="preserve">
5 - Pas de SLA/</t>
    </r>
    <r>
      <rPr>
        <rFont val="Karla"/>
        <color rgb="FF1155CC"/>
        <sz val="12.0"/>
        <u/>
      </rPr>
      <t>SLO</t>
    </r>
  </si>
  <si>
    <t>🚫 Non applicable</t>
  </si>
  <si>
    <t>Le critère est validé si :
Les tests montrent que la mise à jour ne dégrade pas les performances sur les appareils plus anciens ou modestes, et que le produit propose des modes optionnels ou allégés lorsque cela est nécessaire.</t>
  </si>
  <si>
    <t>Il n'existe aucun système de suivi de l'impact environnemental.</t>
  </si>
  <si>
    <t>Surveillance des émissions de carbone et de l'intensité carbone ? Connaissez-vous les indices PUE et WUE de votre centre de données ? Envisagez-vous de déménager vers des sites plus écologiques ?</t>
  </si>
  <si>
    <t>Le point fort est confirmée si un suivi satisfaisant est en place, sinon il existe un potentiel d'amélioration.</t>
  </si>
  <si>
    <t>2.3</t>
  </si>
  <si>
    <t>1.4</t>
  </si>
  <si>
    <t>Est-il possible d'optimiser la séparation et la communication entre les composants ?</t>
  </si>
  <si>
    <t>La conception comprend-elle des composants personnalisés plutôt que des composants natifs ?</t>
  </si>
  <si>
    <t>Les composants système (boutons, menus, formulaires, etc.) sont presque toujours plus efficaces que ceux créés sur mesure. Sans parler de leur accessibilité et de leur compatibilité.</t>
  </si>
  <si>
    <t>Les choix architecturaux peuvent permettre une stratégie de mise à l'échelle efficace qui réduit l'utilisation des ressources, mais peuvent également entraîner une certaine surcharge si la séparation et le couplage des composants ne sont pas bien optimisés.</t>
  </si>
  <si>
    <t>Le critère est validé si :
Les composants natifs sont préférés ou justifiés ; les composants personnalisés ne sont utilisés qu'en cas de nécessité et offrent des performances et une accessibilité équivalentes ou supérieures à celles des composants natifs.</t>
  </si>
  <si>
    <t>Modéré</t>
  </si>
  <si>
    <t>Il existe un potentiel d'amélioration si les composants dépendent trop les uns des autres ou si leur communication entraîne des ralentissements, des erreurs ou une complexité inutile.</t>
  </si>
  <si>
    <t>Le service est-il hébergé dans une région où le mix électrique a un impact important ?</t>
  </si>
  <si>
    <t>Le mix électrique local est très important : le choix de la bonne région a un effet considérable sur les impacts liés à l'utilisation du service.</t>
  </si>
  <si>
    <t>1.5</t>
  </si>
  <si>
    <t>Y a-t-il des animations, des vidéos, des sons, des cartes (...) qui sont lus automatiquement ?</t>
  </si>
  <si>
    <t>Il existe un potentiel d'amélioration si le service n'est pas hébergé en France (ou dans un autre pays dont le mix électrique a un faible impact).</t>
  </si>
  <si>
    <t>La lecture de ce type de contenu sans aucune action de la part de l'utilisateur est gênante et utilise des ressources telles que la bande passante et le processeur graphique.</t>
  </si>
  <si>
    <t>Le critère est validé si :
Aucun média n'est lancé sans action de l'utilisateur, ou la lecture automatique est techniquement nécessaire et optimisée (légère, désactivée par défaut, contrôlée par l'utilisateur).</t>
  </si>
  <si>
    <t>2.4</t>
  </si>
  <si>
    <t>Le pic de charge peut-il être lissé sur une échelle de temps ?</t>
  </si>
  <si>
    <t>Le déplacement des tâches dans le temps à l'aide du traitement par lots ou de courtiers de messages permet de lisser la charge et d'alléger l'infrastructure, car la charge maximale est moins importante.</t>
  </si>
  <si>
    <t>L'infrastructure peut-elle être mutualisée ?</t>
  </si>
  <si>
    <t>L'utilisation d'un hébergement mutualisé (via VM, conteneurs, services gérés, *aaS) permet de réduire l'utilisation des ressources, car celles-ci sont partagées avec d'autres produits.</t>
  </si>
  <si>
    <t>1.6</t>
  </si>
  <si>
    <t>Est-il possible d'adapter les ressources utilisées par l'application à la configuration matérielle de l'utilisateur ?</t>
  </si>
  <si>
    <t>Il existe un potentiel d'amélioration si l'infrastructure du projet n'est pas, ou pas entièrement, mutualisée.</t>
  </si>
  <si>
    <t>Il existe un potentiel d'amélioration si le projet n'utilise pas d'outils d'élasticité et si la charge n'est pas constante.
L'application présente des pics de charge et les tâches ne doivent pas être exécutées immédiatement (il ne s'agit pas, par exemple, d'afficher des pages).</t>
  </si>
  <si>
    <t>Tout le monde ne dispose pas d'un appareil capable d'exécuter des contenus gourmands en ressources informatiques (comme les contenus multimédias, etc.).
Que se passe-t-il si un utilisateur tente d'exécuter un contenu gourmand en ressources informatiques sur un appareil inadapté ? Dans ce cas, idéalement, le service ne devrait pas bloquer l'accès et devrait exécuter les fonctions de base.</t>
  </si>
  <si>
    <t>Le critère est validé si :
L'application détecte des conditions matérielles limitées et passe automatiquement à des comportements plus légers (qualité réduite, rendu simplifié, processus lourds désactivés).</t>
  </si>
  <si>
    <t>0.4</t>
  </si>
  <si>
    <t>Dépendances : combien de liens techniques vers d'autres systèmes sont en place ?</t>
  </si>
  <si>
    <t xml:space="preserve">1 - Le produit n'est connecté à aucun autre système
2 - Le produit est connecté à quelques autres systèmes
3 - Le produit est connecté à certains autres systèmes et la connexion est importante (valeur commerciale et/ou couplage technique)
4 - Le produit est connecté à de nombreux autres systèmes
5 - Le produit est connecté à la plupart des autres systèmes du SI (par exemple : authentification et autorisation)
</t>
  </si>
  <si>
    <t>Les composants de déploiement (VM, serveur, conteneurs) sont-ils surdimensionnés ?</t>
  </si>
  <si>
    <t>Utilisez des outils/méthodologies d'observabilité pour vérifier la charge des machines virtuelles/serveurs (CPU/RAM). Elle doit être d'au moins 70 %.</t>
  </si>
  <si>
    <t>1.7</t>
  </si>
  <si>
    <t>2.5</t>
  </si>
  <si>
    <t>Il existe un potentiel d'amélioration si certains composants ont une charge (CPU ou RAM) inférieure à 70 %.</t>
  </si>
  <si>
    <t>0.5</t>
  </si>
  <si>
    <t>Toutes les fonctionnalités sont-elles utiles, utilisables et utilisées ?</t>
  </si>
  <si>
    <t>Y a-t-il des calculs ou des requêtes lourds dont les résultats peuvent être mis en cache ?</t>
  </si>
  <si>
    <t>Si, au sein du système, certains calculs et requêtes lourds renvoient plusieurs fois les mêmes résultats, il peut être possible de les mettre en cache. Cela permettra d'économiser des ressources et d'améliorer les performances.</t>
  </si>
  <si>
    <t>Il existe un potentiel d'amélioration si le projet n'utilise pas d'outils élastiques (mécanismes d’auto-scaling) et si la charge n'est pas constante.
 l'application effectue des calculs lourds, dont le résultat est utilisé plusieurs fois.</t>
  </si>
  <si>
    <t>Le code source du projet est-il entièrement ou partiellement accessible à l'équipe ?</t>
  </si>
  <si>
    <t>Simplifier le produit en supprimant les fonctionnalités inutilisées permettra de réduire la consommation de ressources.</t>
  </si>
  <si>
    <t>1 - Le code source est entièrement disponible (open source ou entièrement accessible à l'organisation).
2 - Le code source est principalement disponible (code accessible en interne, mais pas au public).
3 - Le code source est partiellement disponible (certains composants ou modules sont accessibles).
4 - L'accès est limité à un très petit groupe ou au fournisseur uniquement.
5 - Non, le code source n'est pas disponible / Je ne sais pas.</t>
  </si>
  <si>
    <t>Le critère est validé si :
Les données d'utilisation (analyses, journaux, commentaires) montrent que chaque fonctionnalité est réellement utilisée et apporte une valeur ajoutée évidente, et que les fonctionnalités inutilisées ou redondantes sont identifiées et supprimées afin de réduire la consommation de ressources.</t>
  </si>
  <si>
    <t>0.6</t>
  </si>
  <si>
    <t>Les compétences nécessaires pour mettre à jour le service sont-elles disponibles ?</t>
  </si>
  <si>
    <t>1 - L'équipe maîtrise bien la conception fonctionnelle et technique du projet et peut travailler en toute confiance.
2 - L'équipe connaît la majeure partie du projet et peut y travailler avec prudence.
3 - La connaissance du projet est insuffisante.
4 - Certaines personnes ont une connaissance partielle du projet.
5 - Personne ne connaît le projet.</t>
  </si>
  <si>
    <t>Des outils et des stratégies d'élasticité/d’auto-scaling peuvent-ils être déployés pour réduire la taille de l'infrastructure ?</t>
  </si>
  <si>
    <t>1.8</t>
  </si>
  <si>
    <t>0.7</t>
  </si>
  <si>
    <t>La complexité de  l'architecture est-elle élevée ?</t>
  </si>
  <si>
    <t>Le support des applications est-il médiocre sur les appareils les plus anciens ciblés ?</t>
  </si>
  <si>
    <t>1 - Très complexe / Je ne sais pas
2 - Complexe
3 - Moyen
4 - Simple
5 - Très simple</t>
  </si>
  <si>
    <t>Grâce à des outils tels que les tâches cron, les orchestrateurs, les conteneurs ou les fonctions en tant que service, il est possible d'ajuster le nombre de composants déployés.
Ainsi, si la charge est faible, le nombre de composants est faible.</t>
  </si>
  <si>
    <t>La plupart des impacts des services numériques se font sentir du côté des appareils clients. Il est très important de ne pas pousser ces appareils à l'obsolescence en rompant leur compatibilité.</t>
  </si>
  <si>
    <t>0.8</t>
  </si>
  <si>
    <t>Il existe un potentiel d'amélioration si le projet n'utilise pas d'outils d’auto-scalin contrôlés (c'est-à-dire pas en mode barre libre, mais avec une limite raisonnable) et si la charge n'est pas constante.</t>
  </si>
  <si>
    <t>Le critère est validé si :
L'application fonctionne correctement sur les appareils les plus anciens du groupe cible, sans imposer de mises à niveau inutiles ni causer de problèmes de performances qui accélèrent l'obsolescence.</t>
  </si>
  <si>
    <t>L'infrastructure (nombre et taille des composants tels que les machines virtuelles et les conteneurs) est-elle très importante ?</t>
  </si>
  <si>
    <t>1 - L'une des plus grandes infrastructures de l'organisation
2 - Plus grande que la plupart des services
3 - Comparable à la moyenne de l'organisation
4 - Plus petite que la plupart des services
5 - Très petite (par exemple, quelques machines virtuelles ou conteneurs)</t>
  </si>
  <si>
    <t>0.9</t>
  </si>
  <si>
    <t>Un volume important de données est-il stocké ?</t>
  </si>
  <si>
    <t>1 - Le produit dispose de l'un des plus grands volumes de stockage de données dans le SI / Je ne sais pas.
2 - Le produit stocke un volume important de données dans le SI par rapport à la plupart des systèmes.
3 - Le produit stocke une quantité moyenne de données par rapport au reste du SI.
4 - Le produit stocke une quantité limitée de données.
5 - Le produit stocke très peu de données.</t>
  </si>
  <si>
    <t>1.9</t>
  </si>
  <si>
    <t>Faut-il un réseau à haut débit pour utiliser l'application ?</t>
  </si>
  <si>
    <t>0.10</t>
  </si>
  <si>
    <t>Une bande passante élevée implique une utilisation importante des ressources. Cela indique que certaines optimisations sont possibles pour réduire le nombre et/ou la taille des requêtes.</t>
  </si>
  <si>
    <t>La complexité fonctionnelle est-elle élevée ?</t>
  </si>
  <si>
    <t>1 - Très complexe / Je ne sais pas
2 - Complexe
3 - Moyen
4 - Simple
5 - Facile</t>
  </si>
  <si>
    <t>Le critère est validé si :
L'application reste utilisable sur des connexions à faible bande passante, grâce à des requêtes optimisées, des tailles de fichiers multimédias réduites, des stratégies de mise en cache ou un mode allégé.</t>
  </si>
  <si>
    <t>Tous les environnements sont-ils toujours activés ?</t>
  </si>
  <si>
    <t>Les environnements qui ne sont pas utilisés (par exemple ceux qui ne sont pas en production la nuit ou le week-end) peuvent être désactivés.</t>
  </si>
  <si>
    <t>0.11</t>
  </si>
  <si>
    <t>« Les parcours utilisateurs sont-ils fluides, intuitifs et exempts de frictions UX/UI susceptibles d'être améliorées ? »</t>
  </si>
  <si>
    <t>Il existe un potentiel d'amélioration si le produit dispose d'environnements d'exécution qui ne sont pas utilisés pendant une période significative (comme la nuit ou le week-end).</t>
  </si>
  <si>
    <t>1 - L'UX/UI est très médiocre, les utilisateurs se plaignent et/ou il y a des éléments en attente pour le modifier / Je ne sais pas
2 - L'UX/UI présente des points de friction récurrents ou des problèmes d'utilisabilité
3 - L'UX/UI est fonctionnelle, mais certains aspects pourraient être améliorés
4 - L'UX/UI est claire et agréable à utiliser, seules des améliorations mineures ont été identifiées
5 - L'UX/UI est bien conçue, testée par les utilisateurs et offre une expérience fluide et cohérente</t>
  </si>
  <si>
    <t>1.10</t>
  </si>
  <si>
    <t>Le produit utilise-t-il des designs manupulateurs (UX dark patterns) qui augmentent l'utilisation des ressources ?</t>
  </si>
  <si>
    <t>Les mauvaises pratiques en matière d'expérience utilisateur comprennent le défilement infini, les abonnements pré-cochés, la difficulté à se désabonner, etc.</t>
  </si>
  <si>
    <t>0.12</t>
  </si>
  <si>
    <t>Le critère est validé si :
Aucun motif trompeur n'est présent et la conception évite les mécanismes tels que le défilement infini, la lecture automatique forcée ou les flux de désabonnement cachés qui augmentent artificiellement le chargement des pages et l'utilisation des données.</t>
  </si>
  <si>
    <t>Les environnements de test sont-ils aussi grands que ceux de production ?</t>
  </si>
  <si>
    <t>Le produit est-il compatible avec le matériel le plus ancien de la flotte cible et offre-t-il une expérience fluide sur celui-ci ?</t>
  </si>
  <si>
    <t>Il n'est généralement pas nécessaire d'avoir autant de composants (VM, conteneurs) dans les environnements de test, sauf pour les tests de charge.</t>
  </si>
  <si>
    <t>1 - Incompatible ou inconnu
2 - Compatible mais avec une dégradation significative (irritant ou frustrant pour l'utilisateur)
3 - Compatible et utilisable mais pas confortable (ralentissement notable)
4 - Compatible et généralement fluide (ralentissements mineurs)
5 - Compatible et fluide (confortable et réactif même sur du matériel ancien)</t>
  </si>
  <si>
    <t>Il existe un potentiel d'amélioration si certains environnements de test sont aussi grands que ceux de production.</t>
  </si>
  <si>
    <t>0.13</t>
  </si>
  <si>
    <t>Le backlog produit contient-il des problèmes de performance et des améliorations ?</t>
  </si>
  <si>
    <t>1.11</t>
  </si>
  <si>
    <t>Est-il possible de modifier les valeurs par défaut (nombre d'éléments affichés, qualité, fréquence de rafraîchissement, etc.) afin de réduire l'utilisation des ressources ?</t>
  </si>
  <si>
    <t>1 - Dans le backlog et discussion récurrente
3 - Quelques améliorations sont possibles
5 - Aucun problème de performance identifié</t>
  </si>
  <si>
    <t>Les utilisateurs ne modifient généralement pas les valeurs par défaut. Définir des valeurs par défaut plus sobres peut permettre de réduire la consommation de ressources.</t>
  </si>
  <si>
    <t>Le critère est validé si :
Les valeurs par défaut sont définies sur des options sobres et économes en ressources, et les utilisateurs peuvent facilement ajuster les paramètres (qualité, nombre d'affichages, fréquence) vers des modes plus exigeants uniquement si nécessaire.</t>
  </si>
  <si>
    <t>0.14</t>
  </si>
  <si>
    <t>Les principales fonctionnalités sont-elles optimisées et efficaces ?</t>
  </si>
  <si>
    <t>1 - Pas assez optimisé / ne sais pas
2 - Certaines fonctionnalités principales sont inefficaces ou redondantes
3 - Les fonctionnalités principales sont fonctionnelles mais pourraient être optimisées
4 - La plupart des fonctionnalités principales sont bien implémentées et fonctionnent efficacement
5 - Toutes les fonctionnalités principales sont pleinement efficaces, rationalisées et régulièrement revues à des fins d'optimisation</t>
  </si>
  <si>
    <t>0.15</t>
  </si>
  <si>
    <t>Existe-t-il une politique relative à la suppression et à l'archivage des données ?</t>
  </si>
  <si>
    <t>1.12</t>
  </si>
  <si>
    <t>Y a-t-il beaucoup de pisteurs (trackers) sur le produit ?</t>
  </si>
  <si>
    <t>1 - Aucune politique / ne sais pas
2 - Pratiques informelles ou ponctuelles de suppression et d'archivage
3 - Une politique existe, mais n'est pas appliquée de manière cohérente
4 - Une politique claire est en place et partiellement automatisée
5 - Une politique stricte, appliquée et régulièrement contrôlée en matière de suppression et d'archivage des données</t>
  </si>
  <si>
    <t>Les outils d'analyse et de suivi marketing sont souvent responsables de plus d'un tiers des requêtes sur les sites web. Limiter le nombre d'outils et de partenaires permettrait de réduire l'utilisation des ressources et d'améliorer la confidentialité.</t>
  </si>
  <si>
    <t>Le critère est validé si :
Le suivi est strictement limité au strict nécessaire, le nombre de traceurs/outils est réduit au minimum et chaque demande de suivi est justifiée. La suppression des traceurs inutiles réduit la charge réseau et améliore la confidentialité.</t>
  </si>
  <si>
    <t>0.16</t>
  </si>
  <si>
    <t>Le service est-il hébergé dans un pays dont le mix électrique a un impact significatif ? (en fonction de l'emplacement)</t>
  </si>
  <si>
    <t>1.13</t>
  </si>
  <si>
    <r>
      <rPr>
        <rFont val="Karla"/>
        <color rgb="FF233955"/>
        <sz val="12.0"/>
      </rPr>
      <t>1 -</t>
    </r>
    <r>
      <rPr>
        <rFont val="Karla"/>
        <color rgb="FF233955"/>
        <sz val="12.0"/>
      </rPr>
      <t xml:space="preserve"> &gt; 750 gCO2e / kWh
</t>
    </r>
    <r>
      <rPr>
        <rFont val="Karla"/>
        <color rgb="FF233955"/>
        <sz val="12.0"/>
      </rPr>
      <t xml:space="preserve">2- </t>
    </r>
    <r>
      <rPr>
        <rFont val="Karla"/>
        <color rgb="FF233955"/>
        <sz val="12.0"/>
      </rPr>
      <t xml:space="preserve">&lt; 500 gCO2e / kWh
</t>
    </r>
    <r>
      <rPr>
        <rFont val="Karla"/>
        <color rgb="FF233955"/>
        <sz val="12.0"/>
      </rPr>
      <t>3-</t>
    </r>
    <r>
      <rPr>
        <rFont val="Karla"/>
        <color rgb="FF233955"/>
        <sz val="12.0"/>
      </rPr>
      <t xml:space="preserve"> &lt; 300 gCO2e / kWh
</t>
    </r>
    <r>
      <rPr>
        <rFont val="Karla"/>
        <color rgb="FF233955"/>
        <sz val="12.0"/>
      </rPr>
      <t>4-</t>
    </r>
    <r>
      <rPr>
        <rFont val="Karla"/>
        <color rgb="FF233955"/>
        <sz val="12.0"/>
      </rPr>
      <t xml:space="preserve"> &lt; 200 gCO2e / kWh
</t>
    </r>
    <r>
      <rPr>
        <rFont val="Karla"/>
        <color rgb="FF233955"/>
        <sz val="12.0"/>
      </rPr>
      <t>5-</t>
    </r>
    <r>
      <rPr>
        <rFont val="Karla"/>
        <color rgb="FF233955"/>
        <sz val="12.0"/>
      </rPr>
      <t xml:space="preserve"> &lt; 100 gCO2e / kWh</t>
    </r>
  </si>
  <si>
    <t>Les principaux parcours utilisateurs sont-ils optimisés pour être fluides et efficaces ?</t>
  </si>
  <si>
    <t>Des parcours utilisateur efficaces avec peu d'écrans réduisent l'utilisation des ressources et améliorent la satisfaction et la productivité des utilisateurs.</t>
  </si>
  <si>
    <t>Le critère est validé si :
Les principaux flux de travail nécessitent un nombre minimal d'étapes/d'écrans, sans navigation redondante, ce qui améliore l'efficacité et réduit le nombre de requêtes serveur ou client.</t>
  </si>
  <si>
    <t>1.14</t>
  </si>
  <si>
    <t>Les écrans principaux sont-ils clairs et bien conçus ?</t>
  </si>
  <si>
    <t>Les écrans les plus utilisés doivent être légers en termes d'informations affichées et de supports afin de réduire l'utilisation des ressources.</t>
  </si>
  <si>
    <t>Le critère est validé si :
Les écrans les plus fréquemment utilisés ne contiennent que les informations nécessaires, utilisent des supports légers et évitent les scripts ou composants lourds qui augmentent le coût de rendu.</t>
  </si>
  <si>
    <t>1.15</t>
  </si>
  <si>
    <t>Ce service est-il fréquemment utilisé ?</t>
  </si>
  <si>
    <t>Un service rarement utilisé mais fonctionnant en continu peut avoir un impact environnemental inutile.
À l'inverse, un service fréquemment utilisé justifie sa consommation de ressources.
Comprendre la fréquence d'utilisation permet d'évaluer si le service doit rester tel quel, être simplifié, être partiellement mis hors service ou passer à une exécution à la demande.</t>
  </si>
  <si>
    <t>Le critère est validé si le service présente une utilisation régulière et significative, en adéquation avec son empreinte en termes de ressources.</t>
  </si>
  <si>
    <t>💾 Storage &amp; Data</t>
  </si>
  <si>
    <t>1.16</t>
  </si>
  <si>
    <t>Volume (nombre d'utilisateurs)</t>
  </si>
  <si>
    <t>Connaître le nombre d'utilisateurs actifs permet de contextualiser l'impact environnemental et de déterminer si l'ampleur du service correspond à son audience réelle.
Une infrastructure importante desservant une population réduite peut indiquer un surdimensionnement, tandis qu'une utilisation élevée peut justifier pleinement les ressources allouées.</t>
  </si>
  <si>
    <t>Le critère est validé si le volume d'utilisateurs du produit justifie son utilisation des ressources et son architecture.</t>
  </si>
  <si>
    <t>👨‍💻 Algo &amp; Code</t>
  </si>
  <si>
    <t>ID #</t>
  </si>
  <si>
    <t>Des mécanismes de suppression et d'archivage sont-ils mis en place ?</t>
  </si>
  <si>
    <t>Sans suppression ou archivage automatisés, les données s'accumulent inutilement et augmentent l'utilisation de l'espace de stockage. Les règles de conservation et les politiques d'archivage limitent la croissance des données et réduisent l'impact environnemental.</t>
  </si>
  <si>
    <t>Le critère est validé si des mécanismes automatiques de suppression et d'archivage existent et sont effectivement appliqués.</t>
  </si>
  <si>
    <t>Existe-t-il des outils d'analyse statistique permettant de mettre en évidence des améliorations potentielles en matière d'efficacité  ?</t>
  </si>
  <si>
    <t>L'analyse statique permet d'identifier les problèmes de performance et d'efficacité.
Elle contribue également à améliorer la qualité et facilite la modification des produits.</t>
  </si>
  <si>
    <t>Une amélioration est identifiée si les outils d'analyse statistique en place ont révélé des gains d'efficacité potentiels.</t>
  </si>
  <si>
    <t>Les meilleures pratiques en matière de bases de données sont-elles mises en place ?</t>
  </si>
  <si>
    <t>Une base de données non optimisée nécessite davantage de ressources CPU, de mémoire ou d'E/S pour fournir le même niveau de service, ce qui augmente la consommation d'énergie. Un indexage approprié, une bonne modélisation des données et une maintenance régulière contribuent à réduire l'utilisation inutile des ressources.</t>
  </si>
  <si>
    <t>Le critère est validé si une stratégie est appliquée pour optimiser les performances de la base de données.</t>
  </si>
  <si>
    <t>🛠 Facilité de changement</t>
  </si>
  <si>
    <t>Le produit utilise-t-il les technologies de base de données/stockage adaptées aux utilisations prévues ?</t>
  </si>
  <si>
    <t>Si les besoins en stockage de produits sont importants, il peut être avantageux de spécialiser les technologies de stockage :
- PG/MYSQL/Oracle/SQLServer ou relationnel-objet
- MongoDB pour les documents orientés.
- Base de données en colonnes pour l'analyse.
- Base de données spécialisée (vecteur, séries chronologiques).</t>
  </si>
  <si>
    <t>Il existe un potentiel d'amélioration si le projet n'utilise pas d'outils d'élasticité (d'auto-scalling) et si la charge n'est pas constante.
Le projet présente des besoins de stockage spécifiques qui seraient mieux pris en charge par un autre système de stockage, et le volume est important (&gt; plusieurs centaines de Go).</t>
  </si>
  <si>
    <t>Les bases de données de test sont-elles aussi volumineuses que celles de production ?</t>
  </si>
  <si>
    <t>En général, il n'est pas nécessaire d'avoir autant de données dans les environnements de test qu'en production.</t>
  </si>
  <si>
    <t>Il existe un potentiel d'amélioration si certaines bases de données de test sont aussi volumineuses que celles de production.</t>
  </si>
  <si>
    <t>Poids numerique</t>
  </si>
  <si>
    <t>Une campagne de tests de charge ou de résistance a-t-elle révélé des problèmes d'efficacité ?</t>
  </si>
  <si>
    <t>Y a-t-il des doublons dans les données ?</t>
  </si>
  <si>
    <t>Si une campagne de tests de charge ou de résistance a révélé des problèmes d'efficacité, il peut être possible d'améliorer le produit.</t>
  </si>
  <si>
    <t>Si les données sont dupliquées et que cela ne fait pas partie de la stratégie produit en matière de haute disponibilité, cela indique généralement une opportunité d'optimisation, sauf lorsque la duplication résulte d'une dénormalisation intentionnelle motivée par des considérations de performance.</t>
  </si>
  <si>
    <t>Une amélioration est identifiée si une campagne de tests de charge ou de résistance a révélé des problèmes d'efficacité.</t>
  </si>
  <si>
    <t>Le critère est validé si l'équipe a identifié les données dupliquées et déterminé si cela est justifié ou non.</t>
  </si>
  <si>
    <t>Existe-t-il des données qui sont très rarement utilisées dans le service et qui pourraient être transférées vers un stockage à froid ?</t>
  </si>
  <si>
    <t>L'équipe a-t-elle identifié des domaines à améliorer en termes de performance/efficacité et les a-t-elle ajoutés au backlog ?</t>
  </si>
  <si>
    <t>Une amélioration est identifiée si l'équipe a identifié des gains d'efficacité.</t>
  </si>
  <si>
    <t>Les données rarement consultées peuvent être transférées vers un niveau de stockage plus économe en énergie, mais plus lent (« stockage à froid »).
Par exemple, les transactions datant de plus de trois mois dans un service bancaire peuvent être supprimées de la base de données principale et archivées.
L'utilisateur peut toujours les récupérer, mais via un processus plus lent, ce qui est acceptable compte tenu de leur utilisation peu fréquente.
Par exemple : les SSD ont un impact carbone 2 à 3 fois plus élevé que les disques durs mécaniques (HDD) de capacité équivalente</t>
  </si>
  <si>
    <t>Le critère est validé si les tâches identifiées par l'équipe (problèmes, tickets, etc.) comportent des points permettant d'améliorer les performances/l'efficacité.</t>
  </si>
  <si>
    <t>6.1</t>
  </si>
  <si>
    <t>Le critère est validé si les données rarement consultées ont déjà été transférées vers un stockage froid ou hiérarchisé approprié.</t>
  </si>
  <si>
    <t>Existe-t-il un dispositif d'observabilité efficace pour le produit ?</t>
  </si>
  <si>
    <t>Les indicateurs de performance sont-ils médiocres ?</t>
  </si>
  <si>
    <t>Sans un minimum de connaissances sur le comportement du produit en cours d'exécution, il est difficile d'identifier les optimisations possibles. L'absence de surveillance implique un faible potentiel d'optimisation.</t>
  </si>
  <si>
    <r>
      <rPr>
        <rFont val="Karla"/>
        <color rgb="FF233955"/>
        <sz val="12.0"/>
      </rPr>
      <t xml:space="preserve">Une mauvaise performance implique un potentiel d'optimisation. Les indicateurs de performance comprennent la latence, les requêtes par seconde, les indicateurs </t>
    </r>
    <r>
      <rPr>
        <rFont val="Karla"/>
        <color rgb="FF1155CC"/>
        <sz val="12.0"/>
        <u/>
      </rPr>
      <t>Core Web Vitals</t>
    </r>
    <r>
      <rPr>
        <rFont val="Karla"/>
        <color rgb="FF233955"/>
        <sz val="12.0"/>
      </rPr>
      <t>, etc.</t>
    </r>
  </si>
  <si>
    <t>Le critère est validé si des outils d'observabilité sont en place.</t>
  </si>
  <si>
    <t>Une amélioration est identifiée si les indicateurs de performance ne correspondent pas à l'ambition du projet (par exemple, plus de 2 secondes pour afficher une page web).</t>
  </si>
  <si>
    <t>Les cas d'utilisation les plus critiques (parcours utilisateurs les plus fréquents) sont-ils optimisés ?</t>
  </si>
  <si>
    <t>Les parcours utilisateur les plus fréquents sont essentiels pour l'ensemble des ressources utilisées par l'application. L'application d'optimisations sur ces chemins de code devrait donner de bons résultats.</t>
  </si>
  <si>
    <t>Une amélioration est identifiée si aucune étude n'a été menée pour améliorer les performances/l'efficacité des chemins de code les plus utilisés.</t>
  </si>
  <si>
    <t>La pile technique (Java, JS, Python, PHP, etc.)est-elle pas à jour ?</t>
  </si>
  <si>
    <t>La mise à jour des outils (tels que la machine virtuelle Java) permet d'améliorer àmoindre coût les performances et l'efficacité.</t>
  </si>
  <si>
    <t>⌛️ Évaluation en cours</t>
  </si>
  <si>
    <t>Une amélioration est identifiée si la base technique du projet n'est pas à jour au moins jusqu'à la dernière version LTS.</t>
  </si>
  <si>
    <t>6.2</t>
  </si>
  <si>
    <t>Existe-t-il des revues de code et/ou une programmation en binôme  ( pair programming)?</t>
  </si>
  <si>
    <t>Les revues de code et la programmation en binôme garantissent un niveau minimum de connaissances communes sur la base de code et une qualité minimale.</t>
  </si>
  <si>
    <t>Les composants peuvent-ils être réglés pour améliorer l'efficacité ?</t>
  </si>
  <si>
    <t>Les composants d'optimisation (tels que la  machine virtuelle Java) permettent d'améliorer les performances et l'efficacité.</t>
  </si>
  <si>
    <t>Le critère est validé si des revues de code et de la programmation en binôme sont effectuées sur la majeure partie du code du projet.</t>
  </si>
  <si>
    <t>🤔 À évaluer</t>
  </si>
  <si>
    <t>Une amélioration est identifiée si aucune étude n'a été menée pour vérifier si l'efficacité des composants déployés pourrait être améliorée en modifiant leur configuration.</t>
  </si>
  <si>
    <t>6.3</t>
  </si>
  <si>
    <t>Les dépendances du projet sont-elles à jour ?</t>
  </si>
  <si>
    <t>La mise à jour des dépendances du projet (comme le Spring Framework en Java) peut permettre d'améliorer les performances et l'efficacité.</t>
  </si>
  <si>
    <r>
      <rPr>
        <rFont val="Karla"/>
        <color rgb="FF233955"/>
        <sz val="12.0"/>
      </rPr>
      <t xml:space="preserve">Existe-t-il un processus </t>
    </r>
    <r>
      <rPr>
        <rFont val="Karla"/>
        <color rgb="FF1155CC"/>
        <sz val="12.0"/>
        <u/>
      </rPr>
      <t>CI/CD</t>
    </r>
    <r>
      <rPr>
        <rFont val="Karla"/>
        <color rgb="FF233955"/>
        <sz val="12.0"/>
      </rPr>
      <t xml:space="preserve"> efficace ?</t>
    </r>
  </si>
  <si>
    <t>Une amélioration est identifiée si les principales dépendances du projet ne sont pas à jour par rapport à la dernière version stable.</t>
  </si>
  <si>
    <t>Des problèmes de compatibilité ont-ils été identifiés pour les appareils ciblés ?</t>
  </si>
  <si>
    <t>La présence d'un CI/CD est un bon indicateur de la facilité avec laquelle il sera possible de travailler sur l'application en toute confiance.</t>
  </si>
  <si>
    <t>Une amélioration est identifiée si l'équipe a détecté des problèmes de compatibilité.</t>
  </si>
  <si>
    <t>Le critère est validé si les projets sont régulièrement construits et testés automatiquement via un outil CI/CD.</t>
  </si>
  <si>
    <t>6.4</t>
  </si>
  <si>
    <t>Existe-t-il des tests de non-régression (tests unitaires, tests d'intégration, tests de bout en bout) ?</t>
  </si>
  <si>
    <t>La présence de tests de non-régression permet aux programmeurs de modifier le logiciel tout en étant assurés de l'absence de problèmes induits par leur travail.</t>
  </si>
  <si>
    <t>Le critère est validé si le projet dispose d'un ensemble complet de tests automatisés couvrant les parties les plus importantes du code source.</t>
  </si>
  <si>
    <t>6.5</t>
  </si>
  <si>
    <t>Y a-t-il un fort découplage entre le domaine métier et l'intégration technique ?</t>
  </si>
  <si>
    <t>Les pratiques de découplage telles que l'injection de dépendances ou l'architecture hexagonale/propre/en oignon permettent des changements techniques plus efficaces et ambitieux.
C'est le « D » (inversion des dépendances) des 5 principes fondamentaux.</t>
  </si>
  <si>
    <t>Le critère est validé s'il est possible de modifier les aspects techniques du produit sans modifier le code fonctionnel.</t>
  </si>
  <si>
    <t>6.6</t>
  </si>
  <si>
    <t>Existe-t-il des indicateurs permettant de suivre la qualité des logiciels ?</t>
  </si>
  <si>
    <t>Comme la couverture de code, la complexité cyclomatique, le nombre de problèmes, le nombre de problèmes de livraison, le nombre de retours en arrière, le délai de modification, la fréquence de déploiement, le pourcentage d'échecs de modification, le temps de récupération après un déploiement échoué.</t>
  </si>
  <si>
    <t>Le critère est validé si des mesures de qualité logicielle sont en place.</t>
  </si>
  <si>
    <t>6.7</t>
  </si>
  <si>
    <t>Existe-t-il une documentation complète ?</t>
  </si>
  <si>
    <t>La présence d'une documentation pertinente permet des changements plus ambitieux.</t>
  </si>
  <si>
    <t>Le critère est validé si le projet dispose d'une documentation claire et utilisable.</t>
  </si>
  <si>
    <t>6.8</t>
  </si>
  <si>
    <t>Y a-t-il du code dupliqué dans l'application ?</t>
  </si>
  <si>
    <t>Le code dupliqué peut être supprimé afin de simplifier la maintenance des produits.</t>
  </si>
  <si>
    <t>Le critère est validé s'il n'y a pas de code dupliqué injustifié dans le projet.</t>
  </si>
  <si>
    <t>6.9</t>
  </si>
  <si>
    <t>L'équipe dispose-t-elle d'une autonomie suffisante pour déployer les outils dont elle a besoin pour observer, mesurer ou optimiser le système ?</t>
  </si>
  <si>
    <t>La facilité de changement augmente lorsque les équipes peuvent compter sur les outils dont elles ont besoin pour surveiller les performances, mesurer l'impact ou analyser les comportements.
Cette autonomie peut provenir de la possibilité d'installer des outils personnalisés ou de s'appuyer sur des outils intégrés complets fournis par la plateforme.
Ce qui importe, ce n'est pas l'endroit où l'infrastructure est hébergée, mais la capacité de l'équipe à l'utiliser efficacement pour soutenir l'optimisation.</t>
  </si>
  <si>
    <t>Le critère est validé si l'équipe peut utiliser ou déployer les outils dont elle a besoin pour observer, mesurer et optimiser le système.</t>
  </si>
  <si>
    <t>6.10</t>
  </si>
  <si>
    <t>Les exigences de haute disponibilité peuvent réduire la capacité de l'équipe à modifier, migrer ou optimiser les composants.
Les services qui doivent maintenir une disponibilité stricte laissent moins de possibilités pour les fenêtres de maintenance, les changements architecturaux ou l'optimisation des ressources.
Comprendre ces contraintes aide à évaluer la facilité avec laquelle le système peut évoluer vers un impact environnemental moindre.</t>
  </si>
  <si>
    <t>Le critère est validé si les contraintes de disponibilité du système permettent encore à l'équipe de modifier ou d'optimiser les composants sans difficulté majeure.</t>
  </si>
  <si>
    <t>🕸️ Synthèse</t>
  </si>
  <si>
    <t>Score global d'optimisation potentielle</t>
  </si>
  <si>
    <t>Aperçu du potentiel d'optimisation pour tous les critères</t>
  </si>
  <si>
    <t>CATÉGORIES</t>
  </si>
  <si>
    <t>SCORE</t>
  </si>
  <si>
    <t>`</t>
  </si>
  <si>
    <t>Number of criteria of "🏦-0-Quick Diagnosis"</t>
  </si>
  <si>
    <t>Number of criteria of " Potential optimization global score"</t>
  </si>
  <si>
    <t>Number of criteria of "🛠-6- Ease of change"</t>
  </si>
  <si>
    <t>Number of overall criteria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</si>
</sst>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32">
    <font>
      <sz val="10.0"/>
      <color rgb="FF000000"/>
      <name val="Arial"/>
      <scheme val="minor"/>
    </font>
    <font>
      <sz val="12.0"/>
      <color theme="1"/>
      <name val="Arial"/>
      <scheme val="minor"/>
    </font>
    <font>
      <sz val="12.0"/>
      <color theme="0"/>
      <name val="Arial"/>
    </font>
    <font>
      <b/>
      <sz val="16.0"/>
      <color rgb="FFFFFFFF"/>
      <name val="Arial"/>
      <scheme val="minor"/>
    </font>
    <font>
      <b/>
      <sz val="12.0"/>
      <color theme="0"/>
      <name val="Arial"/>
      <scheme val="minor"/>
    </font>
    <font>
      <b/>
      <sz val="16.0"/>
      <color theme="0"/>
      <name val="Arial"/>
      <scheme val="minor"/>
    </font>
    <font/>
    <font>
      <b/>
      <sz val="14.0"/>
      <color rgb="FF26507D"/>
      <name val="Maven Pro"/>
    </font>
    <font>
      <sz val="12.0"/>
      <color rgb="FFFFFFFF"/>
      <name val="Karla"/>
    </font>
    <font>
      <color theme="1"/>
      <name val="Arial"/>
      <scheme val="minor"/>
    </font>
    <font>
      <sz val="12.0"/>
      <color rgb="FF233955"/>
      <name val="Karla"/>
    </font>
    <font>
      <b/>
      <sz val="12.0"/>
      <color rgb="FF005B67"/>
      <name val="Karla"/>
    </font>
    <font>
      <sz val="12.0"/>
      <color theme="0"/>
      <name val="Karla"/>
    </font>
    <font>
      <sz val="12.0"/>
      <color rgb="FFF5C10C"/>
      <name val="Karla"/>
    </font>
    <font>
      <b/>
      <sz val="14.0"/>
      <color rgb="FFF5C10C"/>
      <name val="Maven Pro"/>
    </font>
    <font>
      <b/>
      <sz val="16.0"/>
      <color rgb="FFFFFFFF"/>
      <name val="Maven Pro"/>
    </font>
    <font>
      <b/>
      <sz val="14.0"/>
      <color theme="0"/>
      <name val="Maven Pro"/>
    </font>
    <font>
      <b/>
      <sz val="16.0"/>
      <color theme="1"/>
      <name val="Arial"/>
      <scheme val="minor"/>
    </font>
    <font>
      <sz val="8.0"/>
      <color rgb="FFFFFFFF"/>
      <name val="Karla"/>
    </font>
    <font>
      <b/>
      <sz val="12.0"/>
      <color theme="1"/>
      <name val="Arial"/>
      <scheme val="minor"/>
    </font>
    <font>
      <sz val="10.0"/>
      <color rgb="FF666666"/>
      <name val="Karla"/>
    </font>
    <font>
      <b/>
      <sz val="12.0"/>
      <color theme="1"/>
      <name val="Arial"/>
    </font>
    <font>
      <sz val="12.0"/>
      <color theme="1"/>
      <name val="Arial"/>
    </font>
    <font>
      <b/>
      <sz val="12.0"/>
      <color rgb="FFFFFFFF"/>
      <name val="Karla"/>
    </font>
    <font>
      <b/>
      <sz val="12.0"/>
      <color rgb="FF233955"/>
      <name val="Karla"/>
    </font>
    <font>
      <strike/>
      <color theme="1"/>
      <name val="Arial"/>
      <scheme val="minor"/>
    </font>
    <font>
      <sz val="12.0"/>
      <color theme="1"/>
      <name val="Karla"/>
    </font>
    <font>
      <u/>
      <sz val="12.0"/>
      <color rgb="FF233955"/>
      <name val="Karla"/>
    </font>
    <font>
      <b/>
      <sz val="14.0"/>
      <color rgb="FFFFFFFF"/>
      <name val="Maven Pro"/>
    </font>
    <font>
      <color theme="1"/>
      <name val="Arial"/>
    </font>
    <font>
      <u/>
      <sz val="12.0"/>
      <color rgb="FF233955"/>
      <name val="Karla"/>
    </font>
    <font>
      <b/>
      <color theme="1"/>
      <name val="Arial"/>
      <scheme val="minor"/>
    </font>
  </fonts>
  <fills count="7">
    <fill>
      <patternFill patternType="none"/>
    </fill>
    <fill>
      <patternFill patternType="lightGray"/>
    </fill>
    <fill>
      <patternFill patternType="solid">
        <fgColor rgb="FF233955"/>
        <bgColor rgb="FF233955"/>
      </patternFill>
    </fill>
    <fill>
      <patternFill patternType="solid">
        <fgColor rgb="FFFFFFFF"/>
        <bgColor rgb="FFFFFFFF"/>
      </patternFill>
    </fill>
    <fill>
      <patternFill patternType="solid">
        <fgColor rgb="FFF3F3F3"/>
        <bgColor rgb="FFF3F3F3"/>
      </patternFill>
    </fill>
    <fill>
      <patternFill patternType="solid">
        <fgColor rgb="FFE0F7FA"/>
        <bgColor rgb="FFE0F7FA"/>
      </patternFill>
    </fill>
    <fill>
      <patternFill patternType="solid">
        <fgColor rgb="FFEFEFEF"/>
        <bgColor rgb="FFEFEFEF"/>
      </patternFill>
    </fill>
  </fills>
  <borders count="37">
    <border/>
    <border>
      <left style="thin">
        <color rgb="FF233955"/>
      </left>
      <right style="thin">
        <color rgb="FF233955"/>
      </right>
      <top style="thin">
        <color rgb="FF233955"/>
      </top>
      <bottom style="thin">
        <color rgb="FF233955"/>
      </bottom>
    </border>
    <border>
      <left style="thin">
        <color rgb="FF233955"/>
      </left>
      <right style="thin">
        <color rgb="FF233955"/>
      </right>
      <top style="thin">
        <color rgb="FF233955"/>
      </top>
    </border>
    <border>
      <left style="thin">
        <color rgb="FF233955"/>
      </left>
      <right style="thin">
        <color rgb="FF233955"/>
      </right>
    </border>
    <border>
      <left style="thin">
        <color rgb="FF233955"/>
      </left>
      <right style="thin">
        <color rgb="FF233955"/>
      </right>
      <bottom style="thin">
        <color rgb="FF233955"/>
      </bottom>
    </border>
    <border>
      <bottom style="thin">
        <color rgb="FFFFFFFF"/>
      </bottom>
    </border>
    <border>
      <left style="thin">
        <color rgb="FF233955"/>
      </left>
      <right style="thin">
        <color rgb="FF233955"/>
      </right>
      <top style="thin">
        <color rgb="FF233955"/>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FFFFFF"/>
      </right>
      <bottom style="thin">
        <color rgb="FFFFFFFF"/>
      </bottom>
    </border>
    <border>
      <left style="thin">
        <color rgb="FF233955"/>
      </left>
      <top style="thin">
        <color rgb="FF233955"/>
      </top>
      <bottom style="thin">
        <color rgb="FF233955"/>
      </bottom>
    </border>
    <border>
      <right style="thin">
        <color rgb="FF233955"/>
      </right>
      <top style="thin">
        <color rgb="FF233955"/>
      </top>
      <bottom style="thin">
        <color rgb="FF233955"/>
      </bottom>
    </border>
    <border>
      <left style="thin">
        <color rgb="FFFFFFFF"/>
      </left>
      <right style="thin">
        <color rgb="FFFFFFFF"/>
      </right>
      <top style="thin">
        <color rgb="FFFFFFFF"/>
      </top>
    </border>
    <border>
      <left style="thin">
        <color rgb="FFF3F3F3"/>
      </left>
      <right style="thin">
        <color rgb="FFF3F3F3"/>
      </right>
      <top style="thin">
        <color rgb="FFF3F3F3"/>
      </top>
      <bottom style="thin">
        <color rgb="FFF3F3F3"/>
      </bottom>
    </border>
    <border>
      <left style="thin">
        <color rgb="FFF3F3F3"/>
      </left>
      <right style="thin">
        <color rgb="FFF3F3F3"/>
      </right>
      <top style="thin">
        <color rgb="FFF3F3F3"/>
      </top>
    </border>
    <border>
      <left style="thin">
        <color rgb="FFF3F3F3"/>
      </left>
      <top style="thin">
        <color rgb="FFF3F3F3"/>
      </top>
      <bottom style="thin">
        <color rgb="FFF3F3F3"/>
      </bottom>
    </border>
    <border>
      <left style="thin">
        <color rgb="FFCCCCCC"/>
      </left>
    </border>
    <border>
      <left style="thin">
        <color rgb="FFD9D9D9"/>
      </left>
      <top style="thin">
        <color rgb="FFD9D9D9"/>
      </top>
    </border>
    <border>
      <top style="thin">
        <color rgb="FFD9D9D9"/>
      </top>
    </border>
    <border>
      <right style="thin">
        <color rgb="FFD9D9D9"/>
      </right>
      <top style="thin">
        <color rgb="FFD9D9D9"/>
      </top>
    </border>
    <border>
      <right style="thin">
        <color rgb="FFF3F3F3"/>
      </right>
      <top style="thin">
        <color rgb="FFF3F3F3"/>
      </top>
      <bottom style="thin">
        <color rgb="FFF3F3F3"/>
      </bottom>
    </border>
    <border>
      <left style="thin">
        <color rgb="FFD9D9D9"/>
      </left>
      <right style="thin">
        <color rgb="FFD9D9D9"/>
      </right>
      <top style="thin">
        <color rgb="FFD9D9D9"/>
      </top>
      <bottom style="thin">
        <color rgb="FFD9D9D9"/>
      </bottom>
    </border>
    <border>
      <right style="thin">
        <color rgb="FFF3F3F3"/>
      </right>
      <top style="thin">
        <color rgb="FFF3F3F3"/>
      </top>
    </border>
    <border>
      <left style="thin">
        <color rgb="FFD9D9D9"/>
      </left>
      <right style="thin">
        <color rgb="FFD9D9D9"/>
      </right>
      <bottom style="thin">
        <color rgb="FFD9D9D9"/>
      </bottom>
    </border>
    <border>
      <left style="thin">
        <color rgb="FFF3F3F3"/>
      </left>
      <right style="thin">
        <color rgb="FFF3F3F3"/>
      </right>
    </border>
    <border>
      <left style="thin">
        <color rgb="FF233955"/>
      </left>
      <top style="thin">
        <color rgb="FF233955"/>
      </top>
    </border>
    <border>
      <top style="thin">
        <color rgb="FF233955"/>
      </top>
    </border>
    <border>
      <right style="thin">
        <color rgb="FF233955"/>
      </right>
      <top style="thin">
        <color rgb="FF233955"/>
      </top>
    </border>
    <border>
      <left style="thin">
        <color rgb="FF233955"/>
      </left>
      <bottom style="thin">
        <color rgb="FF233955"/>
      </bottom>
    </border>
    <border>
      <bottom style="thin">
        <color rgb="FF233955"/>
      </bottom>
    </border>
    <border>
      <right style="thin">
        <color rgb="FF233955"/>
      </right>
      <bottom style="thin">
        <color rgb="FF233955"/>
      </bottom>
    </border>
    <border>
      <top style="thin">
        <color rgb="FF233955"/>
      </top>
      <bottom style="thin">
        <color rgb="FF233955"/>
      </bottom>
    </border>
    <border>
      <left style="thin">
        <color rgb="FFEFEFEF"/>
      </left>
      <right style="thin">
        <color rgb="FFEFEFEF"/>
      </right>
      <top style="thin">
        <color rgb="FFEFEFEF"/>
      </top>
      <bottom style="thin">
        <color rgb="FFEFEFEF"/>
      </bottom>
    </border>
    <border>
      <left style="thin">
        <color rgb="FFEFEFEF"/>
      </left>
      <right style="thin">
        <color rgb="FFEFEFEF"/>
      </right>
      <top style="thin">
        <color rgb="FFEFEFEF"/>
      </top>
    </border>
    <border>
      <left style="thin">
        <color rgb="FFEFEFEF"/>
      </left>
      <top style="thin">
        <color rgb="FFEFEFEF"/>
      </top>
      <bottom style="thin">
        <color rgb="FFEFEFEF"/>
      </bottom>
    </border>
    <border>
      <right style="thin">
        <color rgb="FFEFEFEF"/>
      </right>
      <top style="thin">
        <color rgb="FFEFEFEF"/>
      </top>
      <bottom style="thin">
        <color rgb="FFEFEFEF"/>
      </bottom>
    </border>
    <border>
      <left style="thin">
        <color rgb="FF233955"/>
      </left>
    </border>
    <border>
      <right style="thin">
        <color rgb="FF233955"/>
      </right>
    </border>
  </borders>
  <cellStyleXfs count="1">
    <xf borderId="0" fillId="0" fontId="0" numFmtId="0" applyAlignment="1" applyFont="1"/>
  </cellStyleXfs>
  <cellXfs count="157">
    <xf borderId="0" fillId="0" fontId="0" numFmtId="0" xfId="0" applyAlignment="1" applyFont="1">
      <alignment readingOrder="0" shrinkToFit="0" vertical="bottom" wrapText="0"/>
    </xf>
    <xf borderId="0" fillId="2" fontId="1" numFmtId="0" xfId="0" applyAlignment="1" applyFill="1" applyFont="1">
      <alignment shrinkToFit="0" wrapText="1"/>
    </xf>
    <xf borderId="0" fillId="2" fontId="2" numFmtId="0" xfId="0" applyAlignment="1" applyFill="1" applyFont="1">
      <alignment horizontal="center" shrinkToFit="0" vertical="center" wrapText="1"/>
    </xf>
    <xf borderId="1" fillId="2" fontId="1" numFmtId="0" xfId="0" applyAlignment="1" applyBorder="1" applyFill="1" applyFont="1">
      <alignment shrinkToFit="0" wrapText="1"/>
    </xf>
    <xf borderId="1" fillId="2" fontId="2" numFmtId="0" xfId="0" applyAlignment="1" applyBorder="1" applyFill="1" applyFont="1">
      <alignment horizontal="center" vertical="center"/>
    </xf>
    <xf borderId="0" fillId="2" fontId="1" numFmtId="0" xfId="0" applyAlignment="1" applyFill="1" applyFont="1">
      <alignment shrinkToFit="0" wrapText="1"/>
    </xf>
    <xf borderId="1" fillId="2" fontId="3" numFmtId="0" xfId="0" applyAlignment="1" applyBorder="1" applyFill="1" applyFont="1">
      <alignment horizontal="left" readingOrder="0"/>
    </xf>
    <xf borderId="1" fillId="2" fontId="4" numFmtId="0" xfId="0" applyAlignment="1" applyBorder="1" applyFill="1" applyFont="1">
      <alignment horizontal="center" readingOrder="0"/>
    </xf>
    <xf borderId="0" fillId="2" fontId="2" numFmtId="0" xfId="0" applyAlignment="1" applyFill="1" applyFont="1">
      <alignment horizontal="center" vertical="center"/>
    </xf>
    <xf borderId="1" fillId="2" fontId="5" numFmtId="0" xfId="0" applyAlignment="1" applyBorder="1" applyFill="1" applyFont="1">
      <alignment readingOrder="0" vertical="center"/>
    </xf>
    <xf borderId="2" fillId="2" fontId="1" numFmtId="0" xfId="0" applyAlignment="1" applyBorder="1" applyFill="1" applyFont="1">
      <alignment shrinkToFit="0" wrapText="1"/>
    </xf>
    <xf borderId="3" fillId="0" fontId="6" numFmtId="0" xfId="0" applyBorder="1" applyFont="1"/>
    <xf borderId="1" fillId="2" fontId="2" numFmtId="0" xfId="0" applyAlignment="1" applyBorder="1" applyFill="1" applyFont="1">
      <alignment vertical="center"/>
    </xf>
    <xf borderId="4" fillId="0" fontId="6" numFmtId="0" xfId="0" applyBorder="1" applyFont="1"/>
    <xf borderId="5" fillId="2" fontId="1" numFmtId="0" xfId="0" applyAlignment="1" applyBorder="1" applyFill="1" applyFont="1">
      <alignment shrinkToFit="0" wrapText="1"/>
    </xf>
    <xf borderId="6" fillId="2" fontId="1" numFmtId="0" xfId="0" applyAlignment="1" applyBorder="1" applyFill="1" applyFont="1">
      <alignment shrinkToFit="0" wrapText="1"/>
    </xf>
    <xf borderId="7" fillId="3" fontId="7" numFmtId="0" xfId="0" applyAlignment="1" applyBorder="1" applyFill="1" applyFont="1">
      <alignment readingOrder="0" shrinkToFit="0" wrapText="1"/>
    </xf>
    <xf borderId="8" fillId="0" fontId="7" numFmtId="0" xfId="0" applyAlignment="1" applyBorder="1" applyFont="1">
      <alignment readingOrder="0" shrinkToFit="0" wrapText="1"/>
    </xf>
    <xf borderId="1" fillId="2" fontId="8" numFmtId="0" xfId="0" applyAlignment="1" applyBorder="1" applyFill="1" applyFont="1">
      <alignment horizontal="right" readingOrder="0" shrinkToFit="0" vertical="center" wrapText="0"/>
    </xf>
    <xf borderId="0" fillId="2" fontId="9" numFmtId="0" xfId="0" applyFill="1" applyFont="1"/>
    <xf borderId="7" fillId="3" fontId="10" numFmtId="0" xfId="0" applyAlignment="1" applyBorder="1" applyFill="1" applyFont="1">
      <alignment readingOrder="0" shrinkToFit="0" wrapText="1"/>
    </xf>
    <xf borderId="7" fillId="0" fontId="10" numFmtId="0" xfId="0" applyAlignment="1" applyBorder="1" applyFont="1">
      <alignment readingOrder="0" shrinkToFit="0" wrapText="1"/>
    </xf>
    <xf borderId="7" fillId="3" fontId="1" numFmtId="0" xfId="0" applyAlignment="1" applyBorder="1" applyFill="1" applyFont="1">
      <alignment shrinkToFit="0" wrapText="1"/>
    </xf>
    <xf borderId="7" fillId="0" fontId="1" numFmtId="0" xfId="0" applyAlignment="1" applyBorder="1" applyFont="1">
      <alignment shrinkToFit="0" wrapText="1"/>
    </xf>
    <xf borderId="7" fillId="0" fontId="7" numFmtId="0" xfId="0" applyAlignment="1" applyBorder="1" applyFont="1">
      <alignment readingOrder="0" shrinkToFit="0" wrapText="1"/>
    </xf>
    <xf borderId="0" fillId="0" fontId="9" numFmtId="0" xfId="0" applyAlignment="1" applyFont="1">
      <alignment readingOrder="0" vertical="center"/>
    </xf>
    <xf borderId="7" fillId="3" fontId="11" numFmtId="0" xfId="0" applyAlignment="1" applyBorder="1" applyFill="1" applyFont="1">
      <alignment readingOrder="0" shrinkToFit="0" wrapText="1"/>
    </xf>
    <xf borderId="0" fillId="2" fontId="2" numFmtId="0" xfId="0" applyAlignment="1" applyFill="1" applyFont="1">
      <alignment shrinkToFit="0" vertical="center" wrapText="1"/>
    </xf>
    <xf borderId="7" fillId="0" fontId="11" numFmtId="0" xfId="0" applyAlignment="1" applyBorder="1" applyFont="1">
      <alignment readingOrder="0" shrinkToFit="0" wrapText="1"/>
    </xf>
    <xf borderId="0" fillId="2" fontId="2" numFmtId="0" xfId="0" applyAlignment="1" applyFill="1" applyFont="1">
      <alignment vertical="center"/>
    </xf>
    <xf borderId="9" fillId="2" fontId="8" numFmtId="0" xfId="0" applyAlignment="1" applyBorder="1" applyFill="1" applyFont="1">
      <alignment readingOrder="0" shrinkToFit="0" vertical="center" wrapText="1"/>
    </xf>
    <xf borderId="1" fillId="2" fontId="12" numFmtId="0" xfId="0" applyAlignment="1" applyBorder="1" applyFill="1" applyFont="1">
      <alignment horizontal="right" readingOrder="0" shrinkToFit="0" vertical="center" wrapText="0"/>
    </xf>
    <xf borderId="10" fillId="0" fontId="6" numFmtId="0" xfId="0" applyBorder="1" applyFont="1"/>
    <xf borderId="11" fillId="3" fontId="10" numFmtId="0" xfId="0" applyAlignment="1" applyBorder="1" applyFill="1" applyFont="1">
      <alignment readingOrder="0" shrinkToFit="0" wrapText="1"/>
    </xf>
    <xf borderId="11" fillId="0" fontId="10" numFmtId="0" xfId="0" applyAlignment="1" applyBorder="1" applyFont="1">
      <alignment readingOrder="0" shrinkToFit="0" wrapText="1"/>
    </xf>
    <xf borderId="0" fillId="2" fontId="13" numFmtId="0" xfId="0" applyAlignment="1" applyFill="1" applyFont="1">
      <alignment horizontal="center" readingOrder="0" shrinkToFit="0" wrapText="1"/>
    </xf>
    <xf borderId="4" fillId="2" fontId="13" numFmtId="0" xfId="0" applyAlignment="1" applyBorder="1" applyFill="1" applyFont="1">
      <alignment horizontal="center" readingOrder="0" shrinkToFit="0" wrapText="1"/>
    </xf>
    <xf borderId="0" fillId="2" fontId="14" numFmtId="0" xfId="0" applyAlignment="1" applyFill="1" applyFont="1">
      <alignment horizontal="center" readingOrder="0" shrinkToFit="0" wrapText="1"/>
    </xf>
    <xf borderId="1" fillId="2" fontId="15" numFmtId="9" xfId="0" applyAlignment="1" applyBorder="1" applyFill="1" applyFont="1" applyNumberFormat="1">
      <alignment horizontal="right" readingOrder="0" vertical="center"/>
    </xf>
    <xf borderId="1" fillId="2" fontId="16" numFmtId="0" xfId="0" applyAlignment="1" applyBorder="1" applyFill="1" applyFont="1">
      <alignment horizontal="center" readingOrder="0" shrinkToFit="0" wrapText="1"/>
    </xf>
    <xf borderId="0" fillId="0" fontId="17" numFmtId="0" xfId="0" applyAlignment="1" applyFont="1">
      <alignment readingOrder="0"/>
    </xf>
    <xf borderId="2" fillId="2" fontId="2" numFmtId="0" xfId="0" applyAlignment="1" applyBorder="1" applyFill="1" applyFont="1">
      <alignment horizontal="center" vertical="center"/>
    </xf>
    <xf borderId="1" fillId="2" fontId="12" numFmtId="0" xfId="0" applyAlignment="1" applyBorder="1" applyFill="1" applyFont="1">
      <alignment horizontal="center" readingOrder="0" shrinkToFit="0" wrapText="1"/>
    </xf>
    <xf borderId="2" fillId="2" fontId="3" numFmtId="0" xfId="0" applyAlignment="1" applyBorder="1" applyFill="1" applyFont="1">
      <alignment horizontal="left" readingOrder="0"/>
    </xf>
    <xf borderId="2" fillId="2" fontId="4" numFmtId="0" xfId="0" applyAlignment="1" applyBorder="1" applyFill="1" applyFont="1">
      <alignment horizontal="center" readingOrder="0"/>
    </xf>
    <xf borderId="1" fillId="2" fontId="13" numFmtId="0" xfId="0" applyAlignment="1" applyBorder="1" applyFill="1" applyFont="1">
      <alignment horizontal="center" readingOrder="0" shrinkToFit="0" wrapText="1"/>
    </xf>
    <xf borderId="2" fillId="2" fontId="18" numFmtId="0" xfId="0" applyAlignment="1" applyBorder="1" applyFill="1" applyFont="1">
      <alignment horizontal="right" readingOrder="0" vertical="center"/>
    </xf>
    <xf borderId="2" fillId="2" fontId="5" numFmtId="0" xfId="0" applyAlignment="1" applyBorder="1" applyFill="1" applyFont="1">
      <alignment readingOrder="0" vertical="center"/>
    </xf>
    <xf borderId="0" fillId="3" fontId="9" numFmtId="0" xfId="0" applyAlignment="1" applyFill="1" applyFont="1">
      <alignment readingOrder="0" shrinkToFit="0" vertical="center" wrapText="1"/>
    </xf>
    <xf borderId="12" fillId="4" fontId="19" numFmtId="0" xfId="0" applyAlignment="1" applyBorder="1" applyFill="1" applyFont="1">
      <alignment horizontal="center" readingOrder="0" shrinkToFit="0" vertical="center" wrapText="1"/>
    </xf>
    <xf borderId="12" fillId="4" fontId="20" numFmtId="0" xfId="0" applyAlignment="1" applyBorder="1" applyFill="1" applyFont="1">
      <alignment horizontal="left" readingOrder="0" shrinkToFit="0" vertical="center" wrapText="1"/>
    </xf>
    <xf borderId="12" fillId="4" fontId="21" numFmtId="0" xfId="0" applyAlignment="1" applyBorder="1" applyFill="1" applyFont="1">
      <alignment horizontal="center" vertical="center"/>
    </xf>
    <xf borderId="12" fillId="4" fontId="20" numFmtId="0" xfId="0" applyAlignment="1" applyBorder="1" applyFill="1" applyFont="1">
      <alignment horizontal="left" readingOrder="0" vertical="center"/>
    </xf>
    <xf borderId="12" fillId="4" fontId="21" numFmtId="0" xfId="0" applyAlignment="1" applyBorder="1" applyFill="1" applyFont="1">
      <alignment horizontal="center" shrinkToFit="0" vertical="center" wrapText="1"/>
    </xf>
    <xf borderId="12" fillId="4" fontId="21" numFmtId="0" xfId="0" applyAlignment="1" applyBorder="1" applyFill="1" applyFont="1">
      <alignment vertical="center"/>
    </xf>
    <xf borderId="0" fillId="4" fontId="22" numFmtId="0" xfId="0" applyAlignment="1" applyFill="1" applyFont="1">
      <alignment shrinkToFit="0" vertical="center" wrapText="1"/>
    </xf>
    <xf borderId="13" fillId="4" fontId="21" numFmtId="0" xfId="0" applyAlignment="1" applyBorder="1" applyFill="1" applyFont="1">
      <alignment horizontal="center" vertical="center"/>
    </xf>
    <xf borderId="13" fillId="4" fontId="20" numFmtId="0" xfId="0" applyAlignment="1" applyBorder="1" applyFill="1" applyFont="1">
      <alignment horizontal="left" readingOrder="0" vertical="center"/>
    </xf>
    <xf borderId="13" fillId="4" fontId="21" numFmtId="0" xfId="0" applyAlignment="1" applyBorder="1" applyFill="1" applyFont="1">
      <alignment horizontal="center" shrinkToFit="0" vertical="center" wrapText="1"/>
    </xf>
    <xf borderId="13" fillId="4" fontId="21" numFmtId="0" xfId="0" applyAlignment="1" applyBorder="1" applyFill="1" applyFont="1">
      <alignment vertical="center"/>
    </xf>
    <xf borderId="14" fillId="4" fontId="19" numFmtId="0" xfId="0" applyAlignment="1" applyBorder="1" applyFill="1" applyFont="1">
      <alignment horizontal="center" readingOrder="0" shrinkToFit="0" vertical="center" wrapText="1"/>
    </xf>
    <xf borderId="15" fillId="2" fontId="23" numFmtId="0" xfId="0" applyAlignment="1" applyBorder="1" applyFill="1" applyFont="1">
      <alignment horizontal="center" readingOrder="0" vertical="center"/>
    </xf>
    <xf borderId="2" fillId="2" fontId="23" numFmtId="0" xfId="0" applyAlignment="1" applyBorder="1" applyFill="1" applyFont="1">
      <alignment horizontal="center" readingOrder="0" vertical="center"/>
    </xf>
    <xf borderId="16" fillId="3" fontId="20" numFmtId="0" xfId="0" applyAlignment="1" applyBorder="1" applyFill="1" applyFont="1">
      <alignment horizontal="center" readingOrder="0" shrinkToFit="0" vertical="center" wrapText="1"/>
    </xf>
    <xf borderId="17" fillId="0" fontId="6" numFmtId="0" xfId="0" applyBorder="1" applyFont="1"/>
    <xf borderId="18" fillId="0" fontId="6" numFmtId="0" xfId="0" applyBorder="1" applyFont="1"/>
    <xf borderId="19" fillId="4" fontId="21" numFmtId="0" xfId="0" applyAlignment="1" applyBorder="1" applyFill="1" applyFont="1">
      <alignment vertical="center"/>
    </xf>
    <xf borderId="2" fillId="2" fontId="23" numFmtId="0" xfId="0" applyAlignment="1" applyBorder="1" applyFill="1" applyFont="1">
      <alignment horizontal="center" readingOrder="0" shrinkToFit="0" vertical="center" wrapText="1"/>
    </xf>
    <xf borderId="19" fillId="4" fontId="22" numFmtId="0" xfId="0" applyAlignment="1" applyBorder="1" applyFill="1" applyFont="1">
      <alignment shrinkToFit="0" vertical="center" wrapText="1"/>
    </xf>
    <xf borderId="2" fillId="2" fontId="23" numFmtId="0" xfId="0" applyAlignment="1" applyBorder="1" applyFill="1" applyFont="1">
      <alignment readingOrder="0" vertical="center"/>
    </xf>
    <xf borderId="12" fillId="4" fontId="22" numFmtId="0" xfId="0" applyAlignment="1" applyBorder="1" applyFill="1" applyFont="1">
      <alignment shrinkToFit="0" vertical="center" wrapText="1"/>
    </xf>
    <xf borderId="19" fillId="4" fontId="19" numFmtId="0" xfId="0" applyAlignment="1" applyBorder="1" applyFill="1" applyFont="1">
      <alignment horizontal="center" readingOrder="0" shrinkToFit="0" vertical="center" wrapText="1"/>
    </xf>
    <xf borderId="1" fillId="2" fontId="23" numFmtId="0" xfId="0" applyAlignment="1" applyBorder="1" applyFill="1" applyFont="1">
      <alignment horizontal="center" readingOrder="0" vertical="center"/>
    </xf>
    <xf quotePrefix="1" borderId="20" fillId="3" fontId="24" numFmtId="0" xfId="0" applyAlignment="1" applyBorder="1" applyFill="1" applyFont="1">
      <alignment horizontal="center" readingOrder="0" vertical="center"/>
    </xf>
    <xf borderId="20" fillId="3" fontId="10" numFmtId="0" xfId="0" applyAlignment="1" applyBorder="1" applyFill="1" applyFont="1">
      <alignment readingOrder="0" shrinkToFit="0" vertical="center" wrapText="1"/>
    </xf>
    <xf borderId="20" fillId="3" fontId="10" numFmtId="0" xfId="0" applyAlignment="1" applyBorder="1" applyFill="1" applyFont="1">
      <alignment readingOrder="0" shrinkToFit="0" vertical="center" wrapText="1"/>
    </xf>
    <xf borderId="21" fillId="4" fontId="21" numFmtId="0" xfId="0" applyAlignment="1" applyBorder="1" applyFill="1" applyFont="1">
      <alignment vertical="center"/>
    </xf>
    <xf borderId="0" fillId="3" fontId="22" numFmtId="0" xfId="0" applyAlignment="1" applyFill="1" applyFont="1">
      <alignment shrinkToFit="0" vertical="center" wrapText="1"/>
    </xf>
    <xf borderId="22" fillId="3" fontId="24" numFmtId="0" xfId="0" applyAlignment="1" applyBorder="1" applyFill="1" applyFont="1">
      <alignment horizontal="center" vertical="center"/>
    </xf>
    <xf borderId="22" fillId="3" fontId="10" numFmtId="0" xfId="0" applyAlignment="1" applyBorder="1" applyFill="1" applyFont="1">
      <alignment horizontal="left" readingOrder="0" shrinkToFit="0" vertical="center" wrapText="1"/>
    </xf>
    <xf borderId="20" fillId="3" fontId="10" numFmtId="0" xfId="0" applyAlignment="1" applyBorder="1" applyFill="1" applyFont="1">
      <alignment readingOrder="0" vertical="center"/>
    </xf>
    <xf borderId="22" fillId="3" fontId="24" numFmtId="0" xfId="0" applyAlignment="1" applyBorder="1" applyFill="1" applyFont="1">
      <alignment horizontal="center" readingOrder="0" vertical="center"/>
    </xf>
    <xf borderId="20" fillId="3" fontId="24" numFmtId="164" xfId="0" applyAlignment="1" applyBorder="1" applyFill="1" applyFont="1" applyNumberFormat="1">
      <alignment horizontal="center" readingOrder="0" vertical="center"/>
    </xf>
    <xf borderId="0" fillId="3" fontId="9" numFmtId="0" xfId="0" applyAlignment="1" applyFill="1" applyFont="1">
      <alignment readingOrder="0" vertical="center"/>
    </xf>
    <xf borderId="0" fillId="3" fontId="9" numFmtId="0" xfId="0" applyAlignment="1" applyFill="1" applyFont="1">
      <alignment readingOrder="0" vertical="center"/>
    </xf>
    <xf borderId="0" fillId="0" fontId="25" numFmtId="0" xfId="0" applyFont="1"/>
    <xf borderId="0" fillId="3" fontId="22" numFmtId="0" xfId="0" applyAlignment="1" applyFill="1" applyFont="1">
      <alignment horizontal="right"/>
    </xf>
    <xf borderId="0" fillId="3" fontId="22" numFmtId="0" xfId="0" applyAlignment="1" applyFill="1" applyFont="1">
      <alignment horizontal="right" readingOrder="0" vertical="center"/>
    </xf>
    <xf borderId="20" fillId="3" fontId="24" numFmtId="0" xfId="0" applyAlignment="1" applyBorder="1" applyFill="1" applyFont="1">
      <alignment horizontal="center" readingOrder="0" vertical="center"/>
    </xf>
    <xf borderId="20" fillId="3" fontId="24" numFmtId="0" xfId="0" applyAlignment="1" applyBorder="1" applyFill="1" applyFont="1">
      <alignment horizontal="center" vertical="center"/>
    </xf>
    <xf borderId="20" fillId="3" fontId="10" numFmtId="0" xfId="0" applyAlignment="1" applyBorder="1" applyFill="1" applyFont="1">
      <alignment horizontal="left" readingOrder="0" shrinkToFit="0" vertical="center" wrapText="1"/>
    </xf>
    <xf borderId="20" fillId="3" fontId="26" numFmtId="0" xfId="0" applyAlignment="1" applyBorder="1" applyFill="1" applyFont="1">
      <alignment horizontal="center" readingOrder="0" vertical="center"/>
    </xf>
    <xf borderId="0" fillId="5" fontId="9" numFmtId="0" xfId="0" applyAlignment="1" applyFill="1" applyFont="1">
      <alignment readingOrder="0" vertical="center"/>
    </xf>
    <xf borderId="0" fillId="5" fontId="9" numFmtId="0" xfId="0" applyAlignment="1" applyFill="1" applyFont="1">
      <alignment readingOrder="0" vertical="center"/>
    </xf>
    <xf borderId="22" fillId="3" fontId="27" numFmtId="0" xfId="0" applyAlignment="1" applyBorder="1" applyFill="1" applyFont="1">
      <alignment horizontal="left" readingOrder="0" shrinkToFit="0" vertical="center" wrapText="1"/>
    </xf>
    <xf borderId="0" fillId="3" fontId="24" numFmtId="164" xfId="0" applyAlignment="1" applyFill="1" applyFont="1" applyNumberFormat="1">
      <alignment horizontal="center" readingOrder="0" vertical="center"/>
    </xf>
    <xf borderId="13" fillId="4" fontId="20" numFmtId="0" xfId="0" applyAlignment="1" applyBorder="1" applyFill="1" applyFont="1">
      <alignment horizontal="left" readingOrder="0" shrinkToFit="0" vertical="center" wrapText="1"/>
    </xf>
    <xf borderId="0" fillId="3" fontId="10" numFmtId="0" xfId="0" applyAlignment="1" applyFill="1" applyFont="1">
      <alignment readingOrder="0" shrinkToFit="0" vertical="center" wrapText="1"/>
    </xf>
    <xf borderId="20" fillId="3" fontId="10" numFmtId="49" xfId="0" applyAlignment="1" applyBorder="1" applyFill="1" applyFont="1" applyNumberFormat="1">
      <alignment readingOrder="0" shrinkToFit="0" vertical="center" wrapText="1"/>
    </xf>
    <xf borderId="0" fillId="3" fontId="10" numFmtId="0" xfId="0" applyAlignment="1" applyFill="1" applyFont="1">
      <alignment readingOrder="0" shrinkToFit="0" vertical="center" wrapText="1"/>
    </xf>
    <xf borderId="23" fillId="4" fontId="19" numFmtId="0" xfId="0" applyAlignment="1" applyBorder="1" applyFill="1" applyFont="1">
      <alignment horizontal="center" readingOrder="0" shrinkToFit="0" vertical="center" wrapText="1"/>
    </xf>
    <xf borderId="23" fillId="4" fontId="21" numFmtId="0" xfId="0" applyAlignment="1" applyBorder="1" applyFill="1" applyFont="1">
      <alignment vertical="center"/>
    </xf>
    <xf borderId="0" fillId="5" fontId="9" numFmtId="0" xfId="0" applyAlignment="1" applyFill="1" applyFont="1">
      <alignment vertical="center"/>
    </xf>
    <xf borderId="24" fillId="2" fontId="28" numFmtId="0" xfId="0" applyAlignment="1" applyBorder="1" applyFill="1" applyFont="1">
      <alignment horizontal="center" readingOrder="0" shrinkToFit="0" vertical="center" wrapText="1"/>
    </xf>
    <xf borderId="25" fillId="3" fontId="6" numFmtId="0" xfId="0" applyBorder="1" applyFill="1" applyFont="1"/>
    <xf borderId="26" fillId="3" fontId="6" numFmtId="0" xfId="0" applyBorder="1" applyFill="1" applyFont="1"/>
    <xf borderId="1" fillId="2" fontId="14" numFmtId="0" xfId="0" applyAlignment="1" applyBorder="1" applyFill="1" applyFont="1">
      <alignment horizontal="center" readingOrder="0" shrinkToFit="0" wrapText="1"/>
    </xf>
    <xf borderId="27" fillId="5" fontId="6" numFmtId="0" xfId="0" applyBorder="1" applyFill="1" applyFont="1"/>
    <xf borderId="28" fillId="5" fontId="6" numFmtId="0" xfId="0" applyBorder="1" applyFill="1" applyFont="1"/>
    <xf borderId="29" fillId="5" fontId="6" numFmtId="0" xfId="0" applyBorder="1" applyFill="1" applyFont="1"/>
    <xf borderId="20" fillId="3" fontId="26" numFmtId="0" xfId="0" applyAlignment="1" applyBorder="1" applyFill="1" applyFont="1">
      <alignment readingOrder="0" vertical="center"/>
    </xf>
    <xf borderId="0" fillId="3" fontId="9" numFmtId="0" xfId="0" applyAlignment="1" applyFill="1" applyFont="1">
      <alignment vertical="center"/>
    </xf>
    <xf borderId="13" fillId="4" fontId="19" numFmtId="0" xfId="0" applyAlignment="1" applyBorder="1" applyFill="1" applyFont="1">
      <alignment horizontal="center" readingOrder="0" shrinkToFit="0" vertical="center" wrapText="1"/>
    </xf>
    <xf borderId="25" fillId="5" fontId="6" numFmtId="0" xfId="0" applyBorder="1" applyFill="1" applyFont="1"/>
    <xf borderId="0" fillId="0" fontId="9" numFmtId="10" xfId="0" applyAlignment="1" applyFont="1" applyNumberFormat="1">
      <alignment vertical="center"/>
    </xf>
    <xf borderId="0" fillId="0" fontId="9" numFmtId="0" xfId="0" applyAlignment="1" applyFont="1">
      <alignment vertical="center"/>
    </xf>
    <xf borderId="26" fillId="5" fontId="6" numFmtId="0" xfId="0" applyBorder="1" applyFill="1" applyFont="1"/>
    <xf borderId="27" fillId="3" fontId="6" numFmtId="0" xfId="0" applyBorder="1" applyFill="1" applyFont="1"/>
    <xf borderId="28" fillId="3" fontId="6" numFmtId="0" xfId="0" applyBorder="1" applyFill="1" applyFont="1"/>
    <xf borderId="29" fillId="3" fontId="6" numFmtId="0" xfId="0" applyBorder="1" applyFill="1" applyFont="1"/>
    <xf borderId="12" fillId="4" fontId="1" numFmtId="0" xfId="0" applyAlignment="1" applyBorder="1" applyFill="1" applyFont="1">
      <alignment horizontal="center" readingOrder="0" shrinkToFit="0" vertical="center" wrapText="1"/>
    </xf>
    <xf borderId="0" fillId="0" fontId="29" numFmtId="0" xfId="0" applyAlignment="1" applyFont="1">
      <alignment vertical="bottom"/>
    </xf>
    <xf quotePrefix="1" borderId="20" fillId="3" fontId="24" numFmtId="164" xfId="0" applyAlignment="1" applyBorder="1" applyFill="1" applyFont="1" applyNumberFormat="1">
      <alignment horizontal="center" readingOrder="0" vertical="center"/>
    </xf>
    <xf borderId="20" fillId="3" fontId="30" numFmtId="0" xfId="0" applyAlignment="1" applyBorder="1" applyFill="1" applyFont="1">
      <alignment readingOrder="0" shrinkToFit="0" vertical="center" wrapText="1"/>
    </xf>
    <xf borderId="0" fillId="3" fontId="29" numFmtId="0" xfId="0" applyAlignment="1" applyFill="1" applyFont="1">
      <alignment horizontal="right"/>
    </xf>
    <xf borderId="0" fillId="4" fontId="19" numFmtId="0" xfId="0" applyAlignment="1" applyFill="1" applyFont="1">
      <alignment horizontal="center" readingOrder="0" shrinkToFit="0" vertical="center" wrapText="1"/>
    </xf>
    <xf borderId="0" fillId="4" fontId="19" numFmtId="164" xfId="0" applyAlignment="1" applyFill="1" applyFont="1" applyNumberFormat="1">
      <alignment horizontal="center" readingOrder="0" shrinkToFit="0" vertical="center" wrapText="1"/>
    </xf>
    <xf borderId="0" fillId="4" fontId="21" numFmtId="0" xfId="0" applyAlignment="1" applyFill="1" applyFont="1">
      <alignment vertical="center"/>
    </xf>
    <xf borderId="0" fillId="0" fontId="9" numFmtId="10" xfId="0" applyFont="1" applyNumberFormat="1"/>
    <xf borderId="0" fillId="2" fontId="2" numFmtId="10" xfId="0" applyAlignment="1" applyFill="1" applyFont="1" applyNumberFormat="1">
      <alignment horizontal="center" vertical="center"/>
    </xf>
    <xf borderId="9" fillId="2" fontId="3" numFmtId="0" xfId="0" applyAlignment="1" applyBorder="1" applyFill="1" applyFont="1">
      <alignment horizontal="left" readingOrder="0"/>
    </xf>
    <xf borderId="30" fillId="0" fontId="6" numFmtId="0" xfId="0" applyBorder="1" applyFont="1"/>
    <xf borderId="0" fillId="2" fontId="9" numFmtId="0" xfId="0" applyAlignment="1" applyFill="1" applyFont="1">
      <alignment readingOrder="0" vertical="center"/>
    </xf>
    <xf borderId="0" fillId="2" fontId="17" numFmtId="0" xfId="0" applyAlignment="1" applyFill="1" applyFont="1">
      <alignment readingOrder="0"/>
    </xf>
    <xf borderId="0" fillId="2" fontId="9" numFmtId="0" xfId="0" applyAlignment="1" applyFill="1" applyFont="1">
      <alignment readingOrder="0" shrinkToFit="0" vertical="center" wrapText="1"/>
    </xf>
    <xf borderId="31" fillId="6" fontId="9" numFmtId="0" xfId="0" applyBorder="1" applyFill="1" applyFont="1"/>
    <xf borderId="32" fillId="6" fontId="9" numFmtId="0" xfId="0" applyBorder="1" applyFill="1" applyFont="1"/>
    <xf borderId="33" fillId="6" fontId="9" numFmtId="0" xfId="0" applyBorder="1" applyFill="1" applyFont="1"/>
    <xf borderId="2" fillId="2" fontId="23" numFmtId="0" xfId="0" applyAlignment="1" applyBorder="1" applyFill="1" applyFont="1">
      <alignment readingOrder="0" shrinkToFit="0" vertical="center" wrapText="1"/>
    </xf>
    <xf borderId="34" fillId="6" fontId="9" numFmtId="0" xfId="0" applyBorder="1" applyFill="1" applyFont="1"/>
    <xf borderId="20" fillId="3" fontId="9" numFmtId="0" xfId="0" applyBorder="1" applyFill="1" applyFont="1"/>
    <xf borderId="20" fillId="3" fontId="9" numFmtId="9" xfId="0" applyAlignment="1" applyBorder="1" applyFill="1" applyFont="1" applyNumberFormat="1">
      <alignment horizontal="center"/>
    </xf>
    <xf borderId="20" fillId="3" fontId="9" numFmtId="0" xfId="0" applyAlignment="1" applyBorder="1" applyFill="1" applyFont="1">
      <alignment readingOrder="0"/>
    </xf>
    <xf borderId="20" fillId="3" fontId="9" numFmtId="9" xfId="0" applyAlignment="1" applyBorder="1" applyFill="1" applyFont="1" applyNumberFormat="1">
      <alignment horizontal="center" readingOrder="0"/>
    </xf>
    <xf borderId="31" fillId="6" fontId="31" numFmtId="0" xfId="0" applyBorder="1" applyFill="1" applyFont="1"/>
    <xf borderId="31" fillId="6" fontId="9" numFmtId="0" xfId="0" applyAlignment="1" applyBorder="1" applyFill="1" applyFont="1">
      <alignment readingOrder="0"/>
    </xf>
    <xf borderId="25" fillId="0" fontId="6" numFmtId="0" xfId="0" applyBorder="1" applyFont="1"/>
    <xf borderId="26" fillId="0" fontId="6" numFmtId="0" xfId="0" applyBorder="1" applyFont="1"/>
    <xf borderId="35" fillId="3" fontId="6" numFmtId="0" xfId="0" applyBorder="1" applyFill="1" applyFont="1"/>
    <xf borderId="36" fillId="3" fontId="6" numFmtId="0" xfId="0" applyBorder="1" applyFill="1" applyFont="1"/>
    <xf borderId="0" fillId="0" fontId="9" numFmtId="0" xfId="0" applyAlignment="1" applyFont="1">
      <alignment readingOrder="0"/>
    </xf>
    <xf borderId="0" fillId="0" fontId="9" numFmtId="0" xfId="0" applyFont="1"/>
    <xf borderId="0" fillId="5" fontId="9" numFmtId="0" xfId="0" applyAlignment="1" applyFill="1" applyFont="1">
      <alignment readingOrder="0" shrinkToFit="0" wrapText="1"/>
    </xf>
    <xf borderId="0" fillId="5" fontId="9" numFmtId="0" xfId="0" applyAlignment="1" applyFill="1" applyFont="1">
      <alignment readingOrder="0"/>
    </xf>
    <xf borderId="0" fillId="0" fontId="9" numFmtId="0" xfId="0" applyAlignment="1" applyFont="1">
      <alignment readingOrder="0" shrinkToFit="0" wrapText="1"/>
    </xf>
    <xf borderId="0" fillId="5" fontId="19" numFmtId="0" xfId="0" applyAlignment="1" applyFill="1" applyFont="1">
      <alignment readingOrder="0"/>
    </xf>
    <xf borderId="0" fillId="5" fontId="9" numFmtId="0" xfId="0" applyFill="1" applyFont="1"/>
  </cellXfs>
  <cellStyles count="1">
    <cellStyle xfId="0" name="Normal" builtinId="0"/>
  </cellStyles>
  <dxfs count="4">
    <dxf>
      <font/>
      <fill>
        <patternFill patternType="none"/>
      </fill>
      <border/>
    </dxf>
    <dxf>
      <font/>
      <fill>
        <patternFill patternType="solid">
          <fgColor rgb="FF26A69A"/>
          <bgColor rgb="FF26A69A"/>
        </patternFill>
      </fill>
      <border/>
    </dxf>
    <dxf>
      <font/>
      <fill>
        <patternFill patternType="solid">
          <fgColor rgb="FFFFFFFF"/>
          <bgColor rgb="FFFFFFFF"/>
        </patternFill>
      </fill>
      <border/>
    </dxf>
    <dxf>
      <font/>
      <fill>
        <patternFill patternType="solid">
          <fgColor rgb="FFE0F7FA"/>
          <bgColor rgb="FFE0F7FA"/>
        </patternFill>
      </fill>
      <border/>
    </dxf>
  </dxfs>
  <tableStyles count="9">
    <tableStyle count="3" pivot="0" name="🏦 0-Diagnostic rapide-style">
      <tableStyleElement dxfId="1" type="headerRow"/>
      <tableStyleElement dxfId="2" type="firstRowStripe"/>
      <tableStyleElement dxfId="3" type="secondRowStripe"/>
    </tableStyle>
    <tableStyle count="2" pivot="0" name="🏦 0-Diagnostic rapide-style 2">
      <tableStyleElement dxfId="3" type="firstRowStripe"/>
      <tableStyleElement dxfId="2" type="secondRowStripe"/>
    </tableStyle>
    <tableStyle count="2" pivot="0" name="🏦 0-Diagnostic rapide-style 3">
      <tableStyleElement dxfId="3" type="firstRowStripe"/>
      <tableStyleElement dxfId="2" type="secondRowStripe"/>
    </tableStyle>
    <tableStyle count="2" pivot="0" name="🏦 0-Diagnostic rapide-style 4">
      <tableStyleElement dxfId="2" type="firstRowStripe"/>
      <tableStyleElement dxfId="3" type="secondRowStripe"/>
    </tableStyle>
    <tableStyle count="2" pivot="0" name="🏦 0-Diagnostic rapide-style 5">
      <tableStyleElement dxfId="3" type="firstRowStripe"/>
      <tableStyleElement dxfId="2" type="secondRowStripe"/>
    </tableStyle>
    <tableStyle count="2" pivot="0" name="🏦 0-Diagnostic rapide-style 6">
      <tableStyleElement dxfId="3" type="firstRowStripe"/>
      <tableStyleElement dxfId="2" type="secondRowStripe"/>
    </tableStyle>
    <tableStyle count="2" pivot="0" name="🏦 0-Diagnostic rapide-style 7">
      <tableStyleElement dxfId="3" type="firstRowStripe"/>
      <tableStyleElement dxfId="2" type="secondRowStripe"/>
    </tableStyle>
    <tableStyle count="3" pivot="0" name="🛠6-Facilité de changement-style">
      <tableStyleElement dxfId="1" type="headerRow"/>
      <tableStyleElement dxfId="2" type="firstRowStripe"/>
      <tableStyleElement dxfId="3" type="secondRowStripe"/>
    </tableStyle>
    <tableStyle count="2" pivot="0" name="🛠6-Facilité de changement-style 2">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Radar du potentiel d'optimisation EROOM</a:t>
            </a:r>
          </a:p>
        </c:rich>
      </c:tx>
      <c:overlay val="0"/>
    </c:title>
    <c:plotArea>
      <c:layout>
        <c:manualLayout>
          <c:xMode val="edge"/>
          <c:yMode val="edge"/>
          <c:x val="0.040791366906474856"/>
          <c:y val="0.16528989039172343"/>
          <c:w val="0.9412230215827337"/>
          <c:h val="0.7847101096082765"/>
        </c:manualLayout>
      </c:layout>
      <c:radarChart>
        <c:radarStyle val="marker"/>
        <c:ser>
          <c:idx val="0"/>
          <c:order val="0"/>
          <c:spPr>
            <a:ln cmpd="sng">
              <a:solidFill>
                <a:schemeClr val="accent1"/>
              </a:solidFill>
            </a:ln>
          </c:spPr>
          <c:marker>
            <c:symbol val="circle"/>
            <c:size val="10"/>
            <c:spPr>
              <a:solidFill>
                <a:schemeClr val="accent1"/>
              </a:solidFill>
              <a:ln cmpd="sng">
                <a:solidFill>
                  <a:schemeClr val="accent1"/>
                </a:solidFill>
              </a:ln>
            </c:spPr>
          </c:marker>
          <c:cat>
            <c:strRef>
              <c:f>'🕸️ 7-Synthèse'!$B$7:$B$11</c:f>
            </c:strRef>
          </c:cat>
          <c:val>
            <c:numRef>
              <c:f>'🕸️ 7-Synthèse'!$C$7:$C$11</c:f>
              <c:numCache/>
            </c:numRef>
          </c:val>
        </c:ser>
        <c:axId val="618990225"/>
        <c:axId val="1544549528"/>
      </c:radarChart>
      <c:catAx>
        <c:axId val="618990225"/>
        <c:scaling>
          <c:orientation val="minMax"/>
        </c:scaling>
        <c:delete val="0"/>
        <c:axPos val="b"/>
        <c:title>
          <c:tx>
            <c:rich>
              <a:bodyPr/>
              <a:lstStyle/>
              <a:p>
                <a:pPr lvl="0">
                  <a:defRPr b="1">
                    <a:solidFill>
                      <a:srgbClr val="000000"/>
                    </a:solidFill>
                    <a:latin typeface="+mn-lt"/>
                  </a:defRPr>
                </a:pPr>
                <a:r>
                  <a:rPr b="1">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544549528"/>
      </c:catAx>
      <c:valAx>
        <c:axId val="1544549528"/>
        <c:scaling>
          <c:orientation val="minMax"/>
          <c:max val="1.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Catégories d'optimisation</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618990225"/>
      </c:valAx>
    </c:plotArea>
    <c:legend>
      <c:legendPos val="r"/>
      <c:overlay val="0"/>
      <c:txPr>
        <a:bodyPr/>
        <a:lstStyle/>
        <a:p>
          <a:pPr lvl="0">
            <a:defRPr b="0" i="0">
              <a:solidFill>
                <a:schemeClr val="accent1"/>
              </a:solidFill>
              <a:latin typeface="+mn-lt"/>
            </a:defRPr>
          </a:pPr>
        </a:p>
      </c:txPr>
    </c:legend>
    <c:plotVisOnly val="1"/>
  </c:chart>
  <c:spPr>
    <a:solidFill>
      <a:srgbClr val="FFFFFF"/>
    </a:solidFill>
  </c:spPr>
</c:chartSpace>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10344150</xdr:colOff>
      <xdr:row>1</xdr:row>
      <xdr:rowOff>76200</xdr:rowOff>
    </xdr:from>
    <xdr:ext cx="1143000" cy="41910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1</xdr:row>
      <xdr:rowOff>0</xdr:rowOff>
    </xdr:from>
    <xdr:ext cx="781050" cy="2000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762000</xdr:colOff>
      <xdr:row>4</xdr:row>
      <xdr:rowOff>180975</xdr:rowOff>
    </xdr:from>
    <xdr:ext cx="6619875" cy="5200650"/>
    <xdr:graphicFrame>
      <xdr:nvGraphicFramePr>
        <xdr:cNvPr id="1" name="Chart 1" title="Graphique"/>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x18tc:person displayName="Pierrick Crepy" id="{2b41460f-5cf0-4c7b-900a-92a0ee19f7ff}" providerId="google-sheets"/>
  <x18tc:person displayName="Morgane Eckert" id="{ce18d306-2709-4403-b101-ef0459f32d04}" providerId="google-sheets"/>
</x18tc:personList>
</file>

<file path=xl/tables/table1.xml><?xml version="1.0" encoding="utf-8"?>
<table xmlns="http://schemas.openxmlformats.org/spreadsheetml/2006/main" headerRowCount="0" ref="A8:I19" displayName="Table_1" name="Table_1" id="1">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 0-Diagnostic rapide-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C20:G22" displayName="Table_2" name="Table_2" id="2">
  <tableColumns count="5">
    <tableColumn name="Column1" id="1"/>
    <tableColumn name="Column2" id="2"/>
    <tableColumn name="Column3" id="3"/>
    <tableColumn name="Column4" id="4"/>
    <tableColumn name="Column5" id="5"/>
  </tableColumns>
  <tableStyleInfo name="🏦 0-Diagnostic rapide-style 2" showColumnStripes="0" showFirstColumn="1" showLastColumn="1" showRowStripes="1"/>
</table>
</file>

<file path=xl/tables/table3.xml><?xml version="1.0" encoding="utf-8"?>
<table xmlns="http://schemas.openxmlformats.org/spreadsheetml/2006/main" headerRowCount="0" ref="H20:I20" displayName="Table_3" name="Table_3" id="3">
  <tableColumns count="2">
    <tableColumn name="Column1" id="1"/>
    <tableColumn name="Column2" id="2"/>
  </tableColumns>
  <tableStyleInfo name="🏦 0-Diagnostic rapide-style 3" showColumnStripes="0" showFirstColumn="1" showLastColumn="1" showRowStripes="1"/>
</table>
</file>

<file path=xl/tables/table4.xml><?xml version="1.0" encoding="utf-8"?>
<table xmlns="http://schemas.openxmlformats.org/spreadsheetml/2006/main" headerRowCount="0" ref="A21:A24" displayName="Table_4" name="Table_4" id="4">
  <tableColumns count="1">
    <tableColumn name="Column1" id="1"/>
  </tableColumns>
  <tableStyleInfo name="🏦 0-Diagnostic rapide-style 4" showColumnStripes="0" showFirstColumn="1" showLastColumn="1" showRowStripes="1"/>
</table>
</file>

<file path=xl/tables/table5.xml><?xml version="1.0" encoding="utf-8"?>
<table xmlns="http://schemas.openxmlformats.org/spreadsheetml/2006/main" headerRowCount="0" ref="H22:I22" displayName="Table_5" name="Table_5" id="5">
  <tableColumns count="2">
    <tableColumn name="Column1" id="1"/>
    <tableColumn name="Column2" id="2"/>
  </tableColumns>
  <tableStyleInfo name="🏦 0-Diagnostic rapide-style 5" showColumnStripes="0" showFirstColumn="1" showLastColumn="1" showRowStripes="1"/>
</table>
</file>

<file path=xl/tables/table6.xml><?xml version="1.0" encoding="utf-8"?>
<table xmlns="http://schemas.openxmlformats.org/spreadsheetml/2006/main" headerRowCount="0" ref="H23:I23" displayName="Table_6" name="Table_6" id="6">
  <tableColumns count="2">
    <tableColumn name="Column1" id="1"/>
    <tableColumn name="Column2" id="2"/>
  </tableColumns>
  <tableStyleInfo name="🏦 0-Diagnostic rapide-style 6" showColumnStripes="0" showFirstColumn="1" showLastColumn="1" showRowStripes="1"/>
</table>
</file>

<file path=xl/tables/table7.xml><?xml version="1.0" encoding="utf-8"?>
<table xmlns="http://schemas.openxmlformats.org/spreadsheetml/2006/main" headerRowCount="0" ref="H24:I24" displayName="Table_7" name="Table_7" id="7">
  <tableColumns count="2">
    <tableColumn name="Column1" id="1"/>
    <tableColumn name="Column2" id="2"/>
  </tableColumns>
  <tableStyleInfo name="🏦 0-Diagnostic rapide-style 7" showColumnStripes="0" showFirstColumn="1" showLastColumn="1" showRowStripes="1"/>
</table>
</file>

<file path=xl/tables/table8.xml><?xml version="1.0" encoding="utf-8"?>
<table xmlns="http://schemas.openxmlformats.org/spreadsheetml/2006/main" headerRowCount="0" ref="A7:K14" displayName="Table_8" name="Table_8" id="8">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6-Facilité de changement-style" showColumnStripes="0" showFirstColumn="1" showLastColumn="1" showRowStripes="1"/>
  <extLst>
    <ext uri="GoogleSheetsCustomDataVersion1">
      <go:sheetsCustomData xmlns:go="http://customooxmlschemas.google.com/" headerRowCount="1"/>
    </ext>
  </extLst>
</table>
</file>

<file path=xl/tables/table9.xml><?xml version="1.0" encoding="utf-8"?>
<table xmlns="http://schemas.openxmlformats.org/spreadsheetml/2006/main" headerRowCount="0" ref="A16:J17" displayName="Table_9" name="Table_9" id="9">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6-Facilité de changement-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3" dT="2026-01-30T06:48:11.00" personId="{ce18d306-2709-4403-b101-ef0459f32d04}" id="{e8c2cac2-5fb2-430b-9123-cf73c5dfd119}" done="1">
    <x18tc:text xml:space="preserve">Repérez les meilleures opportunités d'optimisation.</x18tc:text>
  </x18tc:threadedComment>
  <x18tc:threadedComment ref="B7" dT="2026-01-30T06:47:33.00" personId="{ce18d306-2709-4403-b101-ef0459f32d04}" id="{357a54ca-af79-4290-a4f3-05273891ac10}" done="1">
    <x18tc:text xml:space="preserve">Cet onglet propose un outil de diagnostic rapide permettant d'évaluer les produits numériques au sein du système d'information et d'identifier ceux présentant le plus fort potentiel d'optimisation.</x18tc:text>
  </x18tc:threadedComment>
  <x18tc:threadedComment ref="E12" dT="2026-01-29T15:06:43.00" personId="{2b41460f-5cf0-4c7b-900a-92a0ee19f7ff}" id="{82316fbb-426b-4c84-a38b-c5ca53990b01}" done="1">
    <x18tc:text xml:space="preserve">A inversé pour avoir :
1 - Le produit n'est connecté à aucun autre système
…
5 - Le produit est connecté à la plupart des autres systèmes du SI (par exemple : authentification et autorisation)</x18tc:text>
  </x18tc:threadedComment>
  <x18tc:threadedComment ref="F4" dT="2026-01-30T06:47:49.00" personId="{ce18d306-2709-4403-b101-ef0459f32d04}" id="{ae17a05d-4fc2-4494-92b7-650e73b6d005}" done="1">
    <x18tc:text xml:space="preserve">Un score plus élevé reflète un potentiel d'optimisation plus important.</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10" dT="2026-01-30T06:50:46.00" personId="{ce18d306-2709-4403-b101-ef0459f32d04}" id="{2168a490-8191-4d86-bced-519fe46aefa0}" done="1">
    <x18tc:text xml:space="preserve">Il me semble qu'il s'agit plutot du contenu de la cellule 'méthode d'évaluation'</x18tc:text>
  </x18tc:threadedComment>
  <x18tc:threadedComment ref="D10" dT="2026-01-30T13:47:26.00" personId="{2b41460f-5cf0-4c7b-900a-92a0ee19f7ff}" id="{3a644583-f569-4281-add4-c8d229f9ea65}" parentId="{2168a490-8191-4d86-bced-519fe46aefa0}">
    <x18tc:text xml:space="preserve">En effet, bien vu Morgane.
Je l'ai corrigé sur la version française et sur la version anglaise en même temps 😉.</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0" Type="http://schemas.openxmlformats.org/officeDocument/2006/relationships/table" Target="../tables/table7.xm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fr.wikipedia.org/wiki/Service-level_agreement" TargetMode="External"/><Relationship Id="rId15" Type="http://schemas.openxmlformats.org/officeDocument/2006/relationships/table" Target="../tables/table2.xml"/><Relationship Id="rId14" Type="http://schemas.openxmlformats.org/officeDocument/2006/relationships/table" Target="../tables/table1.xml"/><Relationship Id="rId17" Type="http://schemas.openxmlformats.org/officeDocument/2006/relationships/table" Target="../tables/table4.xml"/><Relationship Id="rId16" Type="http://schemas.openxmlformats.org/officeDocument/2006/relationships/table" Target="../tables/table3.xml"/><Relationship Id="rId5" Type="http://schemas.openxmlformats.org/officeDocument/2006/relationships/drawing" Target="../drawings/drawing2.xml"/><Relationship Id="rId19" Type="http://schemas.openxmlformats.org/officeDocument/2006/relationships/table" Target="../tables/table6.xml"/><Relationship Id="rId6" Type="http://schemas.openxmlformats.org/officeDocument/2006/relationships/vmlDrawing" Target="../drawings/vmlDrawing1.vml"/><Relationship Id="rId18" Type="http://schemas.openxmlformats.org/officeDocument/2006/relationships/table" Target="../tables/table5.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s://developers.google.com/search/docs/appearance/core-web-vitals?hl=fr" TargetMode="External"/><Relationship Id="rId5" Type="http://schemas.openxmlformats.org/officeDocument/2006/relationships/drawing" Target="../drawings/drawing7.xml"/><Relationship Id="rId6" Type="http://schemas.openxmlformats.org/officeDocument/2006/relationships/vmlDrawing" Target="../drawings/vmlDrawing2.vml"/></Relationships>
</file>

<file path=xl/worksheets/_rels/sheet8.xml.rels><?xml version="1.0" encoding="UTF-8" standalone="yes"?><Relationships xmlns="http://schemas.openxmlformats.org/package/2006/relationships"><Relationship Id="rId1" Type="http://schemas.openxmlformats.org/officeDocument/2006/relationships/hyperlink" Target="https://fr.wikipedia.org/wiki/CI/CD" TargetMode="External"/><Relationship Id="rId2" Type="http://schemas.openxmlformats.org/officeDocument/2006/relationships/drawing" Target="../drawings/drawing8.xml"/><Relationship Id="rId5" Type="http://schemas.openxmlformats.org/officeDocument/2006/relationships/table" Target="../tables/table8.xml"/><Relationship Id="rId6" Type="http://schemas.openxmlformats.org/officeDocument/2006/relationships/table" Target="../tables/table9.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5.0"/>
    <col customWidth="1" min="2" max="2" width="173.0"/>
  </cols>
  <sheetData>
    <row r="1">
      <c r="A1" s="1"/>
      <c r="B1" s="3"/>
    </row>
    <row r="2">
      <c r="A2" s="5"/>
      <c r="B2" s="10"/>
    </row>
    <row r="3">
      <c r="A3" s="5"/>
      <c r="B3" s="11"/>
    </row>
    <row r="4">
      <c r="A4" s="5"/>
      <c r="B4" s="13"/>
    </row>
    <row r="5">
      <c r="A5" s="14"/>
      <c r="B5" s="15"/>
    </row>
    <row r="6">
      <c r="A6" s="16"/>
      <c r="B6" s="17"/>
    </row>
    <row r="7">
      <c r="A7" s="16"/>
      <c r="B7" s="17" t="s">
        <v>2</v>
      </c>
    </row>
    <row r="8">
      <c r="A8" s="20"/>
      <c r="B8" s="21" t="s">
        <v>4</v>
      </c>
    </row>
    <row r="9">
      <c r="A9" s="20"/>
      <c r="B9" s="21" t="s">
        <v>5</v>
      </c>
    </row>
    <row r="10">
      <c r="A10" s="20"/>
      <c r="B10" s="21" t="s">
        <v>6</v>
      </c>
    </row>
    <row r="11">
      <c r="A11" s="22"/>
      <c r="B11" s="23"/>
    </row>
    <row r="12">
      <c r="A12" s="16"/>
      <c r="B12" s="24" t="s">
        <v>7</v>
      </c>
    </row>
    <row r="13">
      <c r="A13" s="20"/>
      <c r="B13" s="21" t="s">
        <v>8</v>
      </c>
    </row>
    <row r="14">
      <c r="A14" s="20"/>
      <c r="B14" s="21" t="s">
        <v>9</v>
      </c>
    </row>
    <row r="15">
      <c r="A15" s="20"/>
      <c r="B15" s="21" t="s">
        <v>10</v>
      </c>
    </row>
    <row r="16">
      <c r="A16" s="20"/>
      <c r="B16" s="21" t="s">
        <v>11</v>
      </c>
    </row>
    <row r="17">
      <c r="A17" s="20"/>
      <c r="B17" s="21" t="s">
        <v>12</v>
      </c>
    </row>
    <row r="18">
      <c r="A18" s="20"/>
      <c r="B18" s="21" t="s">
        <v>13</v>
      </c>
    </row>
    <row r="19">
      <c r="A19" s="22"/>
      <c r="B19" s="23"/>
    </row>
    <row r="20">
      <c r="A20" s="16"/>
      <c r="B20" s="24" t="s">
        <v>14</v>
      </c>
    </row>
    <row r="21">
      <c r="A21" s="20"/>
      <c r="B21" s="21" t="s">
        <v>15</v>
      </c>
    </row>
    <row r="22">
      <c r="A22" s="20"/>
      <c r="B22" s="21" t="s">
        <v>16</v>
      </c>
    </row>
    <row r="23">
      <c r="A23" s="20"/>
      <c r="B23" s="21" t="s">
        <v>17</v>
      </c>
    </row>
    <row r="24">
      <c r="A24" s="20"/>
      <c r="B24" s="21" t="s">
        <v>18</v>
      </c>
    </row>
    <row r="25">
      <c r="A25" s="20"/>
      <c r="B25" s="21" t="s">
        <v>19</v>
      </c>
    </row>
    <row r="26">
      <c r="A26" s="20"/>
      <c r="B26" s="21" t="s">
        <v>20</v>
      </c>
    </row>
    <row r="27">
      <c r="A27" s="22"/>
      <c r="B27" s="23"/>
    </row>
    <row r="28">
      <c r="A28" s="16"/>
      <c r="B28" s="24" t="s">
        <v>21</v>
      </c>
    </row>
    <row r="29">
      <c r="A29" s="20"/>
      <c r="B29" s="21" t="s">
        <v>22</v>
      </c>
    </row>
    <row r="30">
      <c r="A30" s="20"/>
      <c r="B30" s="21" t="s">
        <v>23</v>
      </c>
    </row>
    <row r="31">
      <c r="A31" s="20"/>
      <c r="B31" s="21" t="s">
        <v>24</v>
      </c>
    </row>
    <row r="32">
      <c r="A32" s="20"/>
      <c r="B32" s="21" t="s">
        <v>25</v>
      </c>
    </row>
    <row r="33">
      <c r="A33" s="20"/>
      <c r="B33" s="21" t="s">
        <v>25</v>
      </c>
    </row>
    <row r="34">
      <c r="A34" s="20"/>
      <c r="B34" s="21"/>
    </row>
    <row r="35">
      <c r="A35" s="16"/>
      <c r="B35" s="24" t="s">
        <v>26</v>
      </c>
    </row>
    <row r="36">
      <c r="A36" s="20"/>
      <c r="B36" s="21" t="s">
        <v>27</v>
      </c>
    </row>
    <row r="37">
      <c r="A37" s="20"/>
      <c r="B37" s="21" t="s">
        <v>28</v>
      </c>
    </row>
    <row r="38">
      <c r="A38" s="20"/>
      <c r="B38" s="21"/>
    </row>
    <row r="39">
      <c r="A39" s="26"/>
      <c r="B39" s="28" t="s">
        <v>29</v>
      </c>
    </row>
    <row r="40">
      <c r="A40" s="20"/>
      <c r="B40" s="21" t="s">
        <v>31</v>
      </c>
    </row>
    <row r="41">
      <c r="A41" s="20"/>
      <c r="B41" s="21" t="s">
        <v>33</v>
      </c>
    </row>
    <row r="42">
      <c r="A42" s="20"/>
      <c r="B42" s="21"/>
    </row>
    <row r="43">
      <c r="A43" s="26"/>
      <c r="B43" s="28" t="s">
        <v>34</v>
      </c>
    </row>
    <row r="44">
      <c r="A44" s="20"/>
      <c r="B44" s="21" t="s">
        <v>35</v>
      </c>
    </row>
    <row r="45">
      <c r="A45" s="20"/>
      <c r="B45" s="21" t="s">
        <v>36</v>
      </c>
    </row>
    <row r="46">
      <c r="A46" s="20"/>
      <c r="B46" s="21"/>
    </row>
    <row r="47">
      <c r="A47" s="26"/>
      <c r="B47" s="28" t="s">
        <v>37</v>
      </c>
    </row>
    <row r="48">
      <c r="A48" s="20"/>
      <c r="B48" s="21" t="s">
        <v>38</v>
      </c>
    </row>
    <row r="49">
      <c r="A49" s="20"/>
      <c r="B49" s="21" t="s">
        <v>9</v>
      </c>
    </row>
    <row r="50">
      <c r="A50" s="20"/>
      <c r="B50" s="21" t="s">
        <v>39</v>
      </c>
    </row>
    <row r="51">
      <c r="A51" s="20"/>
      <c r="B51" s="21" t="s">
        <v>40</v>
      </c>
    </row>
    <row r="52">
      <c r="A52" s="20"/>
      <c r="B52" s="21" t="s">
        <v>41</v>
      </c>
    </row>
    <row r="53">
      <c r="A53" s="20"/>
      <c r="B53" s="21" t="s">
        <v>42</v>
      </c>
    </row>
    <row r="54">
      <c r="A54" s="20"/>
      <c r="B54" s="21"/>
    </row>
    <row r="55">
      <c r="A55" s="26"/>
      <c r="B55" s="28" t="s">
        <v>43</v>
      </c>
    </row>
    <row r="56">
      <c r="A56" s="20"/>
      <c r="B56" s="21" t="s">
        <v>44</v>
      </c>
    </row>
    <row r="57">
      <c r="A57" s="20"/>
      <c r="B57" s="21" t="s">
        <v>45</v>
      </c>
    </row>
    <row r="58">
      <c r="A58" s="20"/>
      <c r="B58" s="21" t="s">
        <v>41</v>
      </c>
    </row>
    <row r="59">
      <c r="A59" s="20"/>
      <c r="B59" s="21"/>
    </row>
    <row r="60">
      <c r="A60" s="26"/>
      <c r="B60" s="28" t="s">
        <v>46</v>
      </c>
    </row>
    <row r="61">
      <c r="A61" s="20"/>
      <c r="B61" s="21" t="s">
        <v>47</v>
      </c>
    </row>
    <row r="62">
      <c r="A62" s="20"/>
      <c r="B62" s="21" t="s">
        <v>48</v>
      </c>
    </row>
    <row r="63">
      <c r="A63" s="20"/>
      <c r="B63" s="21" t="s">
        <v>49</v>
      </c>
    </row>
    <row r="64">
      <c r="A64" s="20"/>
      <c r="B64" s="21" t="s">
        <v>41</v>
      </c>
    </row>
    <row r="65">
      <c r="A65" s="20"/>
      <c r="B65" s="21"/>
    </row>
    <row r="66">
      <c r="A66" s="26"/>
      <c r="B66" s="28" t="s">
        <v>50</v>
      </c>
    </row>
    <row r="67">
      <c r="A67" s="20"/>
      <c r="B67" s="21" t="s">
        <v>51</v>
      </c>
    </row>
    <row r="68">
      <c r="A68" s="20"/>
      <c r="B68" s="21" t="s">
        <v>52</v>
      </c>
    </row>
    <row r="69">
      <c r="A69" s="20"/>
      <c r="B69" s="21" t="s">
        <v>53</v>
      </c>
    </row>
    <row r="70">
      <c r="A70" s="20"/>
      <c r="B70" s="21" t="s">
        <v>54</v>
      </c>
    </row>
    <row r="71">
      <c r="A71" s="20"/>
      <c r="B71" s="21"/>
    </row>
    <row r="72">
      <c r="A72" s="26"/>
      <c r="B72" s="28" t="s">
        <v>55</v>
      </c>
    </row>
    <row r="73">
      <c r="A73" s="20"/>
      <c r="B73" s="21" t="s">
        <v>56</v>
      </c>
    </row>
    <row r="74">
      <c r="A74" s="20"/>
      <c r="B74" s="21" t="s">
        <v>57</v>
      </c>
    </row>
    <row r="75">
      <c r="A75" s="33"/>
      <c r="B75" s="34"/>
    </row>
    <row r="76">
      <c r="A76" s="35"/>
      <c r="B76" s="36"/>
    </row>
    <row r="77">
      <c r="A77" s="37"/>
      <c r="B77" s="39" t="s">
        <v>58</v>
      </c>
    </row>
    <row r="78">
      <c r="A78" s="35"/>
      <c r="B78" s="42" t="s">
        <v>59</v>
      </c>
    </row>
    <row r="79">
      <c r="A79" s="35"/>
      <c r="B79" s="42" t="s">
        <v>60</v>
      </c>
    </row>
    <row r="80">
      <c r="A80" s="35"/>
      <c r="B80" s="45"/>
    </row>
  </sheetData>
  <mergeCells count="1">
    <mergeCell ref="B2:B4"/>
  </mergeCells>
  <printOptions gridLines="1" horizontalCentered="1"/>
  <pageMargins bottom="0.75" footer="0.0" header="0.0" left="0.7" right="0.7" top="0.75"/>
  <pageSetup fitToHeight="0" paperSize="9"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5.88"/>
    <col customWidth="1" min="3" max="3" width="44.13"/>
    <col customWidth="1" min="4" max="4" width="16.5"/>
    <col customWidth="1" min="5" max="5" width="62.0"/>
    <col customWidth="1" min="6" max="6" width="18.63"/>
    <col customWidth="1" min="7" max="7" width="5.88"/>
    <col customWidth="1" hidden="1" min="8" max="8" width="10.88"/>
    <col customWidth="1" hidden="1" min="9" max="9" width="22.38"/>
  </cols>
  <sheetData>
    <row r="1" ht="16.5" customHeight="1">
      <c r="A1" s="4"/>
      <c r="B1" s="4"/>
      <c r="C1" s="6"/>
      <c r="D1" s="7"/>
      <c r="E1" s="7"/>
      <c r="F1" s="9"/>
      <c r="G1" s="9"/>
      <c r="H1" s="12"/>
      <c r="I1" s="12"/>
    </row>
    <row r="2" ht="23.25" customHeight="1">
      <c r="A2" s="4"/>
      <c r="B2" s="4"/>
      <c r="C2" s="6" t="s">
        <v>30</v>
      </c>
      <c r="D2" s="7"/>
      <c r="E2" s="7"/>
      <c r="F2" s="18" t="s">
        <v>1</v>
      </c>
      <c r="G2" s="31"/>
      <c r="H2" s="12"/>
      <c r="I2" s="12"/>
    </row>
    <row r="3" ht="21.0" customHeight="1">
      <c r="A3" s="12"/>
      <c r="B3" s="12"/>
      <c r="C3" s="30" t="s">
        <v>32</v>
      </c>
      <c r="D3" s="32"/>
      <c r="E3" s="12"/>
      <c r="F3" s="38">
        <f>IF(I4 = 0, 0, H4 / I4)</f>
        <v>0.109375</v>
      </c>
      <c r="G3" s="38"/>
      <c r="H3" s="12"/>
      <c r="I3" s="12"/>
    </row>
    <row r="4" ht="15.0" customHeight="1">
      <c r="A4" s="41"/>
      <c r="B4" s="41"/>
      <c r="C4" s="43"/>
      <c r="D4" s="44"/>
      <c r="E4" s="44"/>
      <c r="F4" s="46" t="s">
        <v>61</v>
      </c>
      <c r="G4" s="47"/>
      <c r="H4" s="12">
        <f t="shared" ref="H4:I4" si="1">SUM(H9:H25)</f>
        <v>1.75</v>
      </c>
      <c r="I4" s="12">
        <f t="shared" si="1"/>
        <v>16</v>
      </c>
    </row>
    <row r="5">
      <c r="A5" s="49"/>
      <c r="B5" s="51"/>
      <c r="C5" s="52"/>
      <c r="D5" s="51"/>
      <c r="E5" s="53"/>
      <c r="F5" s="54"/>
      <c r="G5" s="54"/>
      <c r="H5" s="55"/>
      <c r="I5" s="55"/>
    </row>
    <row r="6" ht="12.0" customHeight="1">
      <c r="A6" s="49"/>
      <c r="B6" s="56"/>
      <c r="C6" s="57"/>
      <c r="D6" s="56"/>
      <c r="E6" s="58"/>
      <c r="F6" s="59"/>
      <c r="G6" s="59"/>
      <c r="H6" s="55"/>
      <c r="I6" s="55"/>
    </row>
    <row r="7" ht="33.75" customHeight="1">
      <c r="A7" s="60"/>
      <c r="B7" s="63" t="s">
        <v>67</v>
      </c>
      <c r="C7" s="64"/>
      <c r="D7" s="64"/>
      <c r="E7" s="64"/>
      <c r="F7" s="65"/>
      <c r="G7" s="66"/>
      <c r="H7" s="68"/>
      <c r="I7" s="70"/>
    </row>
    <row r="8" ht="18.75" customHeight="1">
      <c r="A8" s="50"/>
      <c r="B8" s="72" t="s">
        <v>66</v>
      </c>
      <c r="C8" s="62" t="s">
        <v>68</v>
      </c>
      <c r="D8" s="62" t="s">
        <v>70</v>
      </c>
      <c r="E8" s="67" t="s">
        <v>71</v>
      </c>
      <c r="F8" s="69" t="s">
        <v>72</v>
      </c>
      <c r="G8" s="76"/>
      <c r="H8" s="77" t="s">
        <v>62</v>
      </c>
      <c r="I8" s="77" t="s">
        <v>63</v>
      </c>
    </row>
    <row r="9">
      <c r="A9" s="50"/>
      <c r="B9" s="78" t="s">
        <v>79</v>
      </c>
      <c r="C9" s="79" t="s">
        <v>80</v>
      </c>
      <c r="D9" s="81">
        <v>1.0</v>
      </c>
      <c r="E9" s="79" t="s">
        <v>83</v>
      </c>
      <c r="F9" s="80" t="s">
        <v>85</v>
      </c>
      <c r="G9" s="76"/>
      <c r="H9" s="86">
        <f t="shared" ref="H9:H24" si="2">IF(AND(ISNUMBER(D9), D9&gt;=1, D9&lt;=5), (1-((D9-1)/4))*I9, 0*I9)</f>
        <v>1</v>
      </c>
      <c r="I9" s="87">
        <v>1.0</v>
      </c>
    </row>
    <row r="10">
      <c r="A10" s="50"/>
      <c r="B10" s="89" t="s">
        <v>92</v>
      </c>
      <c r="C10" s="90" t="s">
        <v>94</v>
      </c>
      <c r="D10" s="91">
        <v>3.0</v>
      </c>
      <c r="E10" s="90" t="s">
        <v>98</v>
      </c>
      <c r="F10" s="80" t="s">
        <v>85</v>
      </c>
      <c r="G10" s="76"/>
      <c r="H10" s="86">
        <f t="shared" si="2"/>
        <v>0.5</v>
      </c>
      <c r="I10" s="87">
        <v>1.0</v>
      </c>
    </row>
    <row r="11">
      <c r="A11" s="50"/>
      <c r="B11" s="78" t="s">
        <v>101</v>
      </c>
      <c r="C11" s="79" t="s">
        <v>102</v>
      </c>
      <c r="D11" s="81">
        <v>4.0</v>
      </c>
      <c r="E11" s="94" t="s">
        <v>107</v>
      </c>
      <c r="F11" s="80" t="s">
        <v>85</v>
      </c>
      <c r="G11" s="76"/>
      <c r="H11" s="86">
        <f t="shared" si="2"/>
        <v>0.25</v>
      </c>
      <c r="I11" s="87">
        <v>1.0</v>
      </c>
    </row>
    <row r="12">
      <c r="A12" s="50"/>
      <c r="B12" s="89" t="s">
        <v>140</v>
      </c>
      <c r="C12" s="90" t="s">
        <v>141</v>
      </c>
      <c r="D12" s="91"/>
      <c r="E12" s="90" t="s">
        <v>142</v>
      </c>
      <c r="F12" s="80" t="s">
        <v>85</v>
      </c>
      <c r="G12" s="76"/>
      <c r="H12" s="86">
        <f t="shared" si="2"/>
        <v>0</v>
      </c>
      <c r="I12" s="87">
        <v>1.0</v>
      </c>
    </row>
    <row r="13">
      <c r="A13" s="50"/>
      <c r="B13" s="78" t="s">
        <v>148</v>
      </c>
      <c r="C13" s="79" t="s">
        <v>153</v>
      </c>
      <c r="D13" s="78"/>
      <c r="E13" s="79" t="s">
        <v>155</v>
      </c>
      <c r="F13" s="80" t="s">
        <v>85</v>
      </c>
      <c r="G13" s="76"/>
      <c r="H13" s="86">
        <f t="shared" si="2"/>
        <v>0</v>
      </c>
      <c r="I13" s="87">
        <v>1.0</v>
      </c>
    </row>
    <row r="14">
      <c r="A14" s="50"/>
      <c r="B14" s="89" t="s">
        <v>157</v>
      </c>
      <c r="C14" s="79" t="s">
        <v>158</v>
      </c>
      <c r="D14" s="78"/>
      <c r="E14" s="79" t="s">
        <v>159</v>
      </c>
      <c r="F14" s="80" t="s">
        <v>85</v>
      </c>
      <c r="G14" s="76"/>
      <c r="H14" s="86">
        <f t="shared" si="2"/>
        <v>0</v>
      </c>
      <c r="I14" s="87">
        <v>1.0</v>
      </c>
    </row>
    <row r="15">
      <c r="A15" s="50"/>
      <c r="B15" s="78" t="s">
        <v>162</v>
      </c>
      <c r="C15" s="79" t="s">
        <v>163</v>
      </c>
      <c r="D15" s="78"/>
      <c r="E15" s="79" t="s">
        <v>165</v>
      </c>
      <c r="F15" s="80" t="s">
        <v>85</v>
      </c>
      <c r="G15" s="76"/>
      <c r="H15" s="86">
        <f t="shared" si="2"/>
        <v>0</v>
      </c>
      <c r="I15" s="87">
        <v>1.0</v>
      </c>
    </row>
    <row r="16">
      <c r="A16" s="50"/>
      <c r="B16" s="89" t="s">
        <v>168</v>
      </c>
      <c r="C16" s="79" t="s">
        <v>171</v>
      </c>
      <c r="D16" s="78"/>
      <c r="E16" s="79" t="s">
        <v>172</v>
      </c>
      <c r="F16" s="80" t="s">
        <v>85</v>
      </c>
      <c r="G16" s="76"/>
      <c r="H16" s="86">
        <f t="shared" si="2"/>
        <v>0</v>
      </c>
      <c r="I16" s="87">
        <v>1.0</v>
      </c>
    </row>
    <row r="17">
      <c r="A17" s="60"/>
      <c r="B17" s="78" t="s">
        <v>173</v>
      </c>
      <c r="C17" s="90" t="s">
        <v>174</v>
      </c>
      <c r="D17" s="91"/>
      <c r="E17" s="90" t="s">
        <v>175</v>
      </c>
      <c r="F17" s="80" t="s">
        <v>85</v>
      </c>
      <c r="G17" s="76"/>
      <c r="H17" s="86">
        <f t="shared" si="2"/>
        <v>0</v>
      </c>
      <c r="I17" s="87">
        <v>1.0</v>
      </c>
    </row>
    <row r="18">
      <c r="A18" s="60"/>
      <c r="B18" s="89" t="s">
        <v>178</v>
      </c>
      <c r="C18" s="90" t="s">
        <v>180</v>
      </c>
      <c r="D18" s="91"/>
      <c r="E18" s="90" t="s">
        <v>181</v>
      </c>
      <c r="F18" s="80" t="s">
        <v>85</v>
      </c>
      <c r="G18" s="76"/>
      <c r="H18" s="86">
        <f t="shared" si="2"/>
        <v>0</v>
      </c>
      <c r="I18" s="87">
        <v>1.0</v>
      </c>
    </row>
    <row r="19">
      <c r="A19" s="50"/>
      <c r="B19" s="78" t="s">
        <v>185</v>
      </c>
      <c r="C19" s="90" t="s">
        <v>186</v>
      </c>
      <c r="D19" s="91"/>
      <c r="E19" s="90" t="s">
        <v>188</v>
      </c>
      <c r="F19" s="80" t="s">
        <v>85</v>
      </c>
      <c r="G19" s="76"/>
      <c r="H19" s="86">
        <f t="shared" si="2"/>
        <v>0</v>
      </c>
      <c r="I19" s="87">
        <v>1.0</v>
      </c>
    </row>
    <row r="20">
      <c r="A20" s="50"/>
      <c r="B20" s="89" t="s">
        <v>192</v>
      </c>
      <c r="C20" s="90" t="s">
        <v>195</v>
      </c>
      <c r="D20" s="91"/>
      <c r="E20" s="90" t="s">
        <v>197</v>
      </c>
      <c r="F20" s="80" t="s">
        <v>85</v>
      </c>
      <c r="G20" s="66"/>
      <c r="H20" s="86">
        <f t="shared" si="2"/>
        <v>0</v>
      </c>
      <c r="I20" s="87">
        <v>1.0</v>
      </c>
    </row>
    <row r="21">
      <c r="A21" s="50"/>
      <c r="B21" s="78" t="s">
        <v>199</v>
      </c>
      <c r="C21" s="90" t="s">
        <v>200</v>
      </c>
      <c r="D21" s="91"/>
      <c r="E21" s="90" t="s">
        <v>203</v>
      </c>
      <c r="F21" s="80" t="s">
        <v>85</v>
      </c>
      <c r="G21" s="66"/>
      <c r="H21" s="86">
        <f t="shared" si="2"/>
        <v>0</v>
      </c>
      <c r="I21" s="87">
        <v>1.0</v>
      </c>
    </row>
    <row r="22">
      <c r="A22" s="50"/>
      <c r="B22" s="89" t="s">
        <v>206</v>
      </c>
      <c r="C22" s="90" t="s">
        <v>207</v>
      </c>
      <c r="D22" s="91"/>
      <c r="E22" s="90" t="s">
        <v>208</v>
      </c>
      <c r="F22" s="80" t="s">
        <v>85</v>
      </c>
      <c r="G22" s="66"/>
      <c r="H22" s="86">
        <f t="shared" si="2"/>
        <v>0</v>
      </c>
      <c r="I22" s="87">
        <v>1.0</v>
      </c>
    </row>
    <row r="23">
      <c r="A23" s="50"/>
      <c r="B23" s="78" t="s">
        <v>209</v>
      </c>
      <c r="C23" s="90" t="s">
        <v>210</v>
      </c>
      <c r="D23" s="91"/>
      <c r="E23" s="90" t="s">
        <v>213</v>
      </c>
      <c r="F23" s="80" t="s">
        <v>85</v>
      </c>
      <c r="G23" s="76"/>
      <c r="H23" s="86">
        <f t="shared" si="2"/>
        <v>0</v>
      </c>
      <c r="I23" s="87">
        <v>1.0</v>
      </c>
    </row>
    <row r="24">
      <c r="A24" s="50"/>
      <c r="B24" s="89" t="s">
        <v>216</v>
      </c>
      <c r="C24" s="90" t="s">
        <v>217</v>
      </c>
      <c r="D24" s="110"/>
      <c r="E24" s="90" t="s">
        <v>219</v>
      </c>
      <c r="F24" s="80" t="s">
        <v>85</v>
      </c>
      <c r="G24" s="66"/>
      <c r="H24" s="86">
        <f t="shared" si="2"/>
        <v>0</v>
      </c>
      <c r="I24" s="87">
        <v>1.0</v>
      </c>
    </row>
    <row r="25">
      <c r="A25" s="112"/>
      <c r="B25" s="100"/>
      <c r="C25" s="100"/>
      <c r="D25" s="100"/>
      <c r="E25" s="100"/>
      <c r="F25" s="100"/>
      <c r="G25" s="59"/>
      <c r="H25" s="114"/>
      <c r="I25" s="115"/>
    </row>
    <row r="26">
      <c r="A26" s="103" t="s">
        <v>58</v>
      </c>
      <c r="B26" s="113"/>
      <c r="C26" s="113"/>
      <c r="D26" s="113"/>
      <c r="E26" s="113"/>
      <c r="F26" s="113"/>
      <c r="G26" s="116"/>
      <c r="H26" s="106"/>
      <c r="I26" s="106"/>
    </row>
    <row r="27">
      <c r="A27" s="117"/>
      <c r="B27" s="118"/>
      <c r="C27" s="118"/>
      <c r="D27" s="118"/>
      <c r="E27" s="118"/>
      <c r="F27" s="118"/>
      <c r="G27" s="119"/>
      <c r="H27" s="106"/>
      <c r="I27" s="106"/>
    </row>
  </sheetData>
  <mergeCells count="3">
    <mergeCell ref="C3:D3"/>
    <mergeCell ref="B7:F7"/>
    <mergeCell ref="A26:G27"/>
  </mergeCells>
  <dataValidations>
    <dataValidation type="list" allowBlank="1" showErrorMessage="1" sqref="F9:F24">
      <formula1>"Déterminant"</formula1>
    </dataValidation>
    <dataValidation type="list" allowBlank="1" sqref="D9:D24">
      <formula1>"1,2,3,4,5,🚫 Not applicable"</formula1>
    </dataValidation>
  </dataValidations>
  <hyperlinks>
    <hyperlink r:id="rId4" ref="E11"/>
  </hyperlinks>
  <drawing r:id="rId5"/>
  <legacyDrawing r:id="rId6"/>
  <tableParts count="7">
    <tablePart r:id="rId14"/>
    <tablePart r:id="rId15"/>
    <tablePart r:id="rId16"/>
    <tablePart r:id="rId17"/>
    <tablePart r:id="rId18"/>
    <tablePart r:id="rId19"/>
    <tablePart r:id="rId20"/>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5.88"/>
    <col customWidth="1" min="3" max="3" width="39.75"/>
    <col customWidth="1" min="4" max="4" width="48.25"/>
    <col customWidth="1" min="5" max="5" width="20.88"/>
    <col customWidth="1" min="6" max="6" width="55.38"/>
    <col customWidth="1" min="7" max="7" width="22.13"/>
    <col customWidth="1" min="8" max="8" width="5.88"/>
    <col customWidth="1" hidden="1" min="9" max="9" width="10.88"/>
    <col customWidth="1" hidden="1" min="10" max="10" width="22.38"/>
    <col hidden="1" min="11" max="11" width="12.63"/>
  </cols>
  <sheetData>
    <row r="1" ht="16.5" customHeight="1">
      <c r="A1" s="8"/>
      <c r="B1" s="4"/>
      <c r="C1" s="4"/>
      <c r="D1" s="6"/>
      <c r="E1" s="7"/>
      <c r="F1" s="7"/>
      <c r="G1" s="9"/>
      <c r="H1" s="8"/>
      <c r="I1" s="12"/>
      <c r="J1" s="12"/>
      <c r="K1" s="4"/>
    </row>
    <row r="2" ht="23.25" customHeight="1">
      <c r="A2" s="8"/>
      <c r="B2" s="4"/>
      <c r="C2" s="6" t="s">
        <v>3</v>
      </c>
      <c r="D2" s="7"/>
      <c r="E2" s="7"/>
      <c r="F2" s="18" t="s">
        <v>1</v>
      </c>
      <c r="G2" s="19"/>
      <c r="H2" s="8"/>
      <c r="I2" s="25">
        <f t="shared" ref="I2:K2" si="1">SUM(I8:I24)</f>
        <v>5</v>
      </c>
      <c r="J2" s="25">
        <f t="shared" si="1"/>
        <v>23.5</v>
      </c>
      <c r="K2" s="25">
        <f t="shared" si="1"/>
        <v>6.5</v>
      </c>
    </row>
    <row r="3" ht="21.0" customHeight="1">
      <c r="A3" s="29"/>
      <c r="B3" s="12"/>
      <c r="C3" s="30" t="s">
        <v>32</v>
      </c>
      <c r="D3" s="32"/>
      <c r="E3" s="12"/>
      <c r="F3" s="38">
        <f>IF(I2= 0, 0,K2 / J2)</f>
        <v>0.2765957447</v>
      </c>
      <c r="G3" s="19"/>
      <c r="H3" s="29"/>
      <c r="I3" s="25"/>
      <c r="J3" s="25"/>
      <c r="K3" s="40"/>
    </row>
    <row r="4" ht="15.0" customHeight="1">
      <c r="A4" s="8"/>
      <c r="B4" s="41"/>
      <c r="C4" s="41"/>
      <c r="D4" s="43"/>
      <c r="E4" s="44"/>
      <c r="F4" s="46" t="s">
        <v>61</v>
      </c>
      <c r="G4" s="19"/>
      <c r="H4" s="8"/>
      <c r="I4" s="48" t="s">
        <v>62</v>
      </c>
      <c r="J4" s="48" t="s">
        <v>63</v>
      </c>
      <c r="K4" s="48" t="s">
        <v>64</v>
      </c>
    </row>
    <row r="5">
      <c r="A5" s="49"/>
      <c r="B5" s="51"/>
      <c r="C5" s="52"/>
      <c r="D5" s="51"/>
      <c r="E5" s="53"/>
      <c r="F5" s="54"/>
      <c r="G5" s="54"/>
      <c r="H5" s="55"/>
      <c r="I5" s="55"/>
      <c r="J5" s="49"/>
      <c r="K5" s="51"/>
    </row>
    <row r="6" ht="12.0" customHeight="1">
      <c r="A6" s="49"/>
      <c r="B6" s="56"/>
      <c r="C6" s="57"/>
      <c r="D6" s="56"/>
      <c r="E6" s="58"/>
      <c r="F6" s="59"/>
      <c r="G6" s="59"/>
      <c r="H6" s="49"/>
      <c r="I6" s="55"/>
      <c r="J6" s="49"/>
      <c r="K6" s="56"/>
    </row>
    <row r="7">
      <c r="A7" s="60"/>
      <c r="B7" s="62" t="s">
        <v>66</v>
      </c>
      <c r="C7" s="62" t="s">
        <v>68</v>
      </c>
      <c r="D7" s="62" t="s">
        <v>69</v>
      </c>
      <c r="E7" s="62" t="s">
        <v>70</v>
      </c>
      <c r="F7" s="67" t="s">
        <v>71</v>
      </c>
      <c r="G7" s="69" t="s">
        <v>72</v>
      </c>
      <c r="H7" s="71"/>
    </row>
    <row r="8">
      <c r="A8" s="60"/>
      <c r="B8" s="73" t="s">
        <v>74</v>
      </c>
      <c r="C8" s="74" t="s">
        <v>76</v>
      </c>
      <c r="D8" s="75" t="s">
        <v>78</v>
      </c>
      <c r="E8" s="80" t="s">
        <v>81</v>
      </c>
      <c r="F8" s="74" t="s">
        <v>82</v>
      </c>
      <c r="G8" s="80" t="s">
        <v>85</v>
      </c>
      <c r="H8" s="71"/>
      <c r="I8" s="83">
        <f t="shared" ref="I8:I23" si="2">ifs(
    E8="🤔 À évaluer",0,
    E8="⌛️ Évaluation en cours",0.5,
    E8="✅ Point fort confirmé",0,
    E8="💡 Potentiel d'amélioration identifié",1,
    E8="🚫 Non applicable",0,
    TRUE, 0)</f>
        <v>0</v>
      </c>
      <c r="J8" s="83">
        <f t="shared" ref="J8:J23" si="3">ifs(
    G8="Modéré", 
        1,
    G8="Significatif", 
        1.5,
    G8="Déterminant", 
        2,
TRUE,0)
</f>
        <v>2</v>
      </c>
      <c r="K8" s="84">
        <f t="shared" ref="K8:K23" si="4">I8*J8</f>
        <v>0</v>
      </c>
      <c r="L8" s="85"/>
      <c r="M8" s="85"/>
    </row>
    <row r="9">
      <c r="A9" s="60"/>
      <c r="B9" s="88" t="s">
        <v>90</v>
      </c>
      <c r="C9" s="74" t="s">
        <v>91</v>
      </c>
      <c r="D9" s="75" t="s">
        <v>93</v>
      </c>
      <c r="E9" s="80" t="s">
        <v>95</v>
      </c>
      <c r="F9" s="74" t="s">
        <v>96</v>
      </c>
      <c r="G9" s="80" t="s">
        <v>85</v>
      </c>
      <c r="H9" s="71"/>
      <c r="I9" s="92">
        <f t="shared" si="2"/>
        <v>1</v>
      </c>
      <c r="J9" s="92">
        <f t="shared" si="3"/>
        <v>2</v>
      </c>
      <c r="K9" s="93">
        <f t="shared" si="4"/>
        <v>2</v>
      </c>
    </row>
    <row r="10">
      <c r="A10" s="60"/>
      <c r="B10" s="73" t="s">
        <v>104</v>
      </c>
      <c r="C10" s="74" t="s">
        <v>105</v>
      </c>
      <c r="D10" s="75" t="s">
        <v>106</v>
      </c>
      <c r="E10" s="80" t="s">
        <v>108</v>
      </c>
      <c r="F10" s="74" t="s">
        <v>109</v>
      </c>
      <c r="G10" s="80" t="s">
        <v>86</v>
      </c>
      <c r="H10" s="71"/>
      <c r="I10" s="83">
        <f t="shared" si="2"/>
        <v>0</v>
      </c>
      <c r="J10" s="83">
        <f t="shared" si="3"/>
        <v>1.5</v>
      </c>
      <c r="K10" s="84">
        <f t="shared" si="4"/>
        <v>0</v>
      </c>
    </row>
    <row r="11">
      <c r="A11" s="60"/>
      <c r="B11" s="88" t="s">
        <v>114</v>
      </c>
      <c r="C11" s="74" t="s">
        <v>116</v>
      </c>
      <c r="D11" s="75" t="s">
        <v>117</v>
      </c>
      <c r="E11" s="80" t="s">
        <v>95</v>
      </c>
      <c r="F11" s="74" t="s">
        <v>119</v>
      </c>
      <c r="G11" s="80" t="s">
        <v>120</v>
      </c>
      <c r="H11" s="71"/>
      <c r="I11" s="92">
        <f t="shared" si="2"/>
        <v>1</v>
      </c>
      <c r="J11" s="92">
        <f t="shared" si="3"/>
        <v>1</v>
      </c>
      <c r="K11" s="93">
        <f t="shared" si="4"/>
        <v>1</v>
      </c>
    </row>
    <row r="12">
      <c r="A12" s="60"/>
      <c r="B12" s="88" t="s">
        <v>124</v>
      </c>
      <c r="C12" s="74" t="s">
        <v>125</v>
      </c>
      <c r="D12" s="74" t="s">
        <v>127</v>
      </c>
      <c r="E12" s="80" t="s">
        <v>95</v>
      </c>
      <c r="F12" s="74" t="s">
        <v>128</v>
      </c>
      <c r="G12" s="80" t="s">
        <v>120</v>
      </c>
      <c r="H12" s="71"/>
      <c r="I12" s="83">
        <f t="shared" si="2"/>
        <v>1</v>
      </c>
      <c r="J12" s="83">
        <f t="shared" si="3"/>
        <v>1</v>
      </c>
      <c r="K12" s="84">
        <f t="shared" si="4"/>
        <v>1</v>
      </c>
    </row>
    <row r="13">
      <c r="A13" s="60"/>
      <c r="B13" s="88" t="s">
        <v>134</v>
      </c>
      <c r="C13" s="74" t="s">
        <v>135</v>
      </c>
      <c r="D13" s="75" t="s">
        <v>138</v>
      </c>
      <c r="E13" s="80" t="s">
        <v>95</v>
      </c>
      <c r="F13" s="74" t="s">
        <v>139</v>
      </c>
      <c r="G13" s="80" t="s">
        <v>120</v>
      </c>
      <c r="H13" s="71"/>
      <c r="I13" s="92">
        <f t="shared" si="2"/>
        <v>1</v>
      </c>
      <c r="J13" s="92">
        <f t="shared" si="3"/>
        <v>1</v>
      </c>
      <c r="K13" s="93">
        <f t="shared" si="4"/>
        <v>1</v>
      </c>
    </row>
    <row r="14">
      <c r="A14" s="60"/>
      <c r="B14" s="88" t="s">
        <v>145</v>
      </c>
      <c r="C14" s="74" t="s">
        <v>149</v>
      </c>
      <c r="D14" s="74" t="s">
        <v>154</v>
      </c>
      <c r="E14" s="80"/>
      <c r="F14" s="74" t="s">
        <v>156</v>
      </c>
      <c r="G14" s="80" t="s">
        <v>86</v>
      </c>
      <c r="H14" s="71"/>
      <c r="I14" s="83">
        <f t="shared" si="2"/>
        <v>0</v>
      </c>
      <c r="J14" s="83">
        <f t="shared" si="3"/>
        <v>1.5</v>
      </c>
      <c r="K14" s="84">
        <f t="shared" si="4"/>
        <v>0</v>
      </c>
    </row>
    <row r="15">
      <c r="A15" s="60"/>
      <c r="B15" s="88" t="s">
        <v>161</v>
      </c>
      <c r="C15" s="98" t="s">
        <v>164</v>
      </c>
      <c r="D15" s="74" t="s">
        <v>167</v>
      </c>
      <c r="E15" s="80"/>
      <c r="F15" s="75" t="s">
        <v>170</v>
      </c>
      <c r="G15" s="80" t="s">
        <v>86</v>
      </c>
      <c r="H15" s="71"/>
      <c r="I15" s="92">
        <f t="shared" si="2"/>
        <v>0</v>
      </c>
      <c r="J15" s="92">
        <f t="shared" si="3"/>
        <v>1.5</v>
      </c>
      <c r="K15" s="93">
        <f t="shared" si="4"/>
        <v>0</v>
      </c>
    </row>
    <row r="16">
      <c r="A16" s="60"/>
      <c r="B16" s="88" t="s">
        <v>176</v>
      </c>
      <c r="C16" s="74" t="s">
        <v>177</v>
      </c>
      <c r="D16" s="74" t="s">
        <v>179</v>
      </c>
      <c r="E16" s="80" t="s">
        <v>95</v>
      </c>
      <c r="F16" s="75" t="s">
        <v>182</v>
      </c>
      <c r="G16" s="80" t="s">
        <v>86</v>
      </c>
      <c r="H16" s="71"/>
      <c r="I16" s="83">
        <f t="shared" si="2"/>
        <v>1</v>
      </c>
      <c r="J16" s="83">
        <f t="shared" si="3"/>
        <v>1.5</v>
      </c>
      <c r="K16" s="84">
        <f t="shared" si="4"/>
        <v>1.5</v>
      </c>
    </row>
    <row r="17">
      <c r="A17" s="60"/>
      <c r="B17" s="88" t="s">
        <v>189</v>
      </c>
      <c r="C17" s="74" t="s">
        <v>190</v>
      </c>
      <c r="D17" s="74" t="s">
        <v>191</v>
      </c>
      <c r="E17" s="80"/>
      <c r="F17" s="74" t="s">
        <v>193</v>
      </c>
      <c r="G17" s="80" t="s">
        <v>86</v>
      </c>
      <c r="H17" s="71"/>
      <c r="I17" s="92">
        <f t="shared" si="2"/>
        <v>0</v>
      </c>
      <c r="J17" s="92">
        <f t="shared" si="3"/>
        <v>1.5</v>
      </c>
      <c r="K17" s="93">
        <f t="shared" si="4"/>
        <v>0</v>
      </c>
    </row>
    <row r="18">
      <c r="A18" s="60"/>
      <c r="B18" s="88" t="s">
        <v>201</v>
      </c>
      <c r="C18" s="74" t="s">
        <v>202</v>
      </c>
      <c r="D18" s="74" t="s">
        <v>204</v>
      </c>
      <c r="E18" s="80"/>
      <c r="F18" s="74" t="s">
        <v>205</v>
      </c>
      <c r="G18" s="80" t="s">
        <v>86</v>
      </c>
      <c r="H18" s="71"/>
      <c r="I18" s="83">
        <f t="shared" si="2"/>
        <v>0</v>
      </c>
      <c r="J18" s="83">
        <f t="shared" si="3"/>
        <v>1.5</v>
      </c>
      <c r="K18" s="84">
        <f t="shared" si="4"/>
        <v>0</v>
      </c>
    </row>
    <row r="19">
      <c r="A19" s="60"/>
      <c r="B19" s="88" t="s">
        <v>211</v>
      </c>
      <c r="C19" s="74" t="s">
        <v>212</v>
      </c>
      <c r="D19" s="74" t="s">
        <v>214</v>
      </c>
      <c r="E19" s="80"/>
      <c r="F19" s="74" t="s">
        <v>215</v>
      </c>
      <c r="G19" s="80" t="s">
        <v>86</v>
      </c>
      <c r="H19" s="71"/>
      <c r="I19" s="92">
        <f t="shared" si="2"/>
        <v>0</v>
      </c>
      <c r="J19" s="92">
        <f t="shared" si="3"/>
        <v>1.5</v>
      </c>
      <c r="K19" s="93">
        <f t="shared" si="4"/>
        <v>0</v>
      </c>
    </row>
    <row r="20">
      <c r="A20" s="60"/>
      <c r="B20" s="88" t="s">
        <v>218</v>
      </c>
      <c r="C20" s="74" t="s">
        <v>220</v>
      </c>
      <c r="D20" s="74" t="s">
        <v>221</v>
      </c>
      <c r="E20" s="80"/>
      <c r="F20" s="74" t="s">
        <v>222</v>
      </c>
      <c r="G20" s="80" t="s">
        <v>86</v>
      </c>
      <c r="H20" s="71"/>
      <c r="I20" s="83">
        <f t="shared" si="2"/>
        <v>0</v>
      </c>
      <c r="J20" s="83">
        <f t="shared" si="3"/>
        <v>1.5</v>
      </c>
      <c r="K20" s="84">
        <f t="shared" si="4"/>
        <v>0</v>
      </c>
    </row>
    <row r="21">
      <c r="A21" s="60"/>
      <c r="B21" s="88" t="s">
        <v>223</v>
      </c>
      <c r="C21" s="74" t="s">
        <v>224</v>
      </c>
      <c r="D21" s="74" t="s">
        <v>225</v>
      </c>
      <c r="E21" s="80"/>
      <c r="F21" s="74" t="s">
        <v>226</v>
      </c>
      <c r="G21" s="80" t="s">
        <v>86</v>
      </c>
      <c r="H21" s="71"/>
      <c r="I21" s="92">
        <f t="shared" si="2"/>
        <v>0</v>
      </c>
      <c r="J21" s="92">
        <f t="shared" si="3"/>
        <v>1.5</v>
      </c>
      <c r="K21" s="93">
        <f t="shared" si="4"/>
        <v>0</v>
      </c>
    </row>
    <row r="22">
      <c r="A22" s="60"/>
      <c r="B22" s="88" t="s">
        <v>227</v>
      </c>
      <c r="C22" s="74" t="s">
        <v>228</v>
      </c>
      <c r="D22" s="74" t="s">
        <v>229</v>
      </c>
      <c r="E22" s="80" t="s">
        <v>81</v>
      </c>
      <c r="F22" s="74" t="s">
        <v>230</v>
      </c>
      <c r="G22" s="80" t="s">
        <v>86</v>
      </c>
      <c r="H22" s="71"/>
      <c r="I22" s="83">
        <f t="shared" si="2"/>
        <v>0</v>
      </c>
      <c r="J22" s="83">
        <f t="shared" si="3"/>
        <v>1.5</v>
      </c>
      <c r="K22" s="84">
        <f t="shared" si="4"/>
        <v>0</v>
      </c>
    </row>
    <row r="23">
      <c r="A23" s="60"/>
      <c r="B23" s="88" t="s">
        <v>232</v>
      </c>
      <c r="C23" s="74" t="s">
        <v>233</v>
      </c>
      <c r="D23" s="74" t="s">
        <v>234</v>
      </c>
      <c r="E23" s="110"/>
      <c r="F23" s="74" t="s">
        <v>235</v>
      </c>
      <c r="G23" s="110" t="s">
        <v>86</v>
      </c>
      <c r="H23" s="71"/>
      <c r="I23" s="92">
        <f t="shared" si="2"/>
        <v>0</v>
      </c>
      <c r="J23" s="92">
        <f t="shared" si="3"/>
        <v>1.5</v>
      </c>
      <c r="K23" s="93">
        <f t="shared" si="4"/>
        <v>0</v>
      </c>
    </row>
    <row r="24">
      <c r="A24" s="112"/>
      <c r="B24" s="100"/>
      <c r="C24" s="100"/>
      <c r="D24" s="100"/>
      <c r="E24" s="100"/>
      <c r="F24" s="100"/>
      <c r="G24" s="101"/>
      <c r="H24" s="49"/>
      <c r="I24" s="111"/>
      <c r="J24" s="83"/>
      <c r="K24" s="84"/>
    </row>
    <row r="25">
      <c r="A25" s="103" t="s">
        <v>58</v>
      </c>
      <c r="B25" s="113"/>
      <c r="C25" s="113"/>
      <c r="D25" s="113"/>
      <c r="E25" s="113"/>
      <c r="F25" s="113"/>
      <c r="G25" s="116"/>
      <c r="H25" s="106"/>
      <c r="I25" s="106"/>
      <c r="J25" s="92"/>
      <c r="K25" s="93"/>
    </row>
    <row r="26">
      <c r="A26" s="117"/>
      <c r="B26" s="118"/>
      <c r="C26" s="118"/>
      <c r="D26" s="118"/>
      <c r="E26" s="118"/>
      <c r="F26" s="118"/>
      <c r="G26" s="119"/>
      <c r="H26" s="106"/>
      <c r="I26" s="106"/>
      <c r="J26" s="83"/>
      <c r="K26" s="84"/>
    </row>
  </sheetData>
  <mergeCells count="2">
    <mergeCell ref="C3:D3"/>
    <mergeCell ref="A25:G26"/>
  </mergeCells>
  <dataValidations>
    <dataValidation type="list" allowBlank="1" showInputMessage="1" showErrorMessage="1" prompt="Cliquez ici et saisissez une valeur dans la liste des éléments" sqref="E8:E23">
      <formula1>"🤔 À évaluer,⌛️ Évaluation en cours,✅ Point fort confirmé,💡 Potentiel d'amélioration identifié,🚫 Non applicable"</formula1>
    </dataValidation>
    <dataValidation type="list" allowBlank="1" showErrorMessage="1" sqref="G8:G23">
      <formula1>"Modéré,Significatif,Déterminant"</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5.88"/>
    <col customWidth="1" min="3" max="3" width="38.0"/>
    <col customWidth="1" min="4" max="4" width="48.25"/>
    <col customWidth="1" min="5" max="5" width="20.88"/>
    <col customWidth="1" min="6" max="6" width="55.38"/>
    <col customWidth="1" min="7" max="7" width="22.13"/>
    <col customWidth="1" min="8" max="8" width="5.88"/>
    <col customWidth="1" hidden="1" min="9" max="9" width="10.88"/>
    <col customWidth="1" hidden="1" min="10" max="10" width="22.38"/>
    <col hidden="1" min="11" max="11" width="12.63"/>
  </cols>
  <sheetData>
    <row r="1" ht="16.5" customHeight="1">
      <c r="A1" s="2"/>
      <c r="B1" s="4"/>
      <c r="C1" s="4"/>
      <c r="D1" s="6"/>
      <c r="E1" s="7"/>
      <c r="F1" s="7"/>
      <c r="G1" s="9"/>
      <c r="H1" s="8"/>
      <c r="I1" s="12"/>
      <c r="J1" s="12"/>
      <c r="K1" s="4"/>
    </row>
    <row r="2" ht="23.25" customHeight="1">
      <c r="A2" s="2"/>
      <c r="B2" s="4"/>
      <c r="C2" s="6" t="s">
        <v>0</v>
      </c>
      <c r="D2" s="7"/>
      <c r="E2" s="7"/>
      <c r="F2" s="18" t="s">
        <v>1</v>
      </c>
      <c r="G2" s="19"/>
      <c r="H2" s="8"/>
      <c r="I2" s="25">
        <f t="shared" ref="I2:K2" si="1">SUM(I8:I13)</f>
        <v>3</v>
      </c>
      <c r="J2" s="25">
        <f t="shared" si="1"/>
        <v>8</v>
      </c>
      <c r="K2" s="25">
        <f t="shared" si="1"/>
        <v>5</v>
      </c>
    </row>
    <row r="3" ht="21.0" customHeight="1">
      <c r="A3" s="27"/>
      <c r="B3" s="12"/>
      <c r="C3" s="30" t="s">
        <v>32</v>
      </c>
      <c r="D3" s="32"/>
      <c r="E3" s="12"/>
      <c r="F3" s="38">
        <f>IF(I2= 0, 0,K2 / J2)</f>
        <v>0.625</v>
      </c>
      <c r="G3" s="19"/>
      <c r="H3" s="29"/>
      <c r="I3" s="25"/>
      <c r="J3" s="25"/>
      <c r="K3" s="40"/>
    </row>
    <row r="4" ht="15.0" customHeight="1">
      <c r="A4" s="2"/>
      <c r="B4" s="41"/>
      <c r="C4" s="41"/>
      <c r="D4" s="43"/>
      <c r="E4" s="44"/>
      <c r="F4" s="46" t="s">
        <v>61</v>
      </c>
      <c r="G4" s="19"/>
      <c r="H4" s="8"/>
      <c r="I4" s="48" t="s">
        <v>62</v>
      </c>
      <c r="J4" s="48" t="s">
        <v>63</v>
      </c>
      <c r="K4" s="48" t="s">
        <v>64</v>
      </c>
    </row>
    <row r="5">
      <c r="A5" s="50"/>
      <c r="B5" s="51"/>
      <c r="C5" s="52"/>
      <c r="D5" s="51"/>
      <c r="E5" s="53"/>
      <c r="F5" s="54"/>
      <c r="G5" s="54"/>
      <c r="H5" s="55"/>
      <c r="I5" s="55"/>
      <c r="J5" s="49"/>
      <c r="K5" s="51"/>
    </row>
    <row r="6" ht="12.0" customHeight="1">
      <c r="A6" s="50"/>
      <c r="B6" s="56"/>
      <c r="C6" s="57"/>
      <c r="D6" s="56"/>
      <c r="E6" s="58"/>
      <c r="F6" s="59"/>
      <c r="G6" s="59"/>
      <c r="H6" s="49"/>
      <c r="I6" s="55"/>
      <c r="J6" s="49"/>
      <c r="K6" s="56"/>
    </row>
    <row r="7">
      <c r="A7" s="50"/>
      <c r="B7" s="61" t="s">
        <v>66</v>
      </c>
      <c r="C7" s="62" t="s">
        <v>68</v>
      </c>
      <c r="D7" s="62" t="s">
        <v>69</v>
      </c>
      <c r="E7" s="62" t="s">
        <v>70</v>
      </c>
      <c r="F7" s="67" t="s">
        <v>71</v>
      </c>
      <c r="G7" s="69" t="s">
        <v>72</v>
      </c>
      <c r="H7" s="49"/>
    </row>
    <row r="8">
      <c r="A8" s="50"/>
      <c r="B8" s="73" t="s">
        <v>73</v>
      </c>
      <c r="C8" s="74" t="s">
        <v>75</v>
      </c>
      <c r="D8" s="75" t="s">
        <v>77</v>
      </c>
      <c r="E8" s="80"/>
      <c r="F8" s="74" t="s">
        <v>84</v>
      </c>
      <c r="G8" s="80" t="s">
        <v>86</v>
      </c>
      <c r="H8" s="71"/>
      <c r="I8" s="83">
        <f t="shared" ref="I8:I12" si="2">ifs(
    E8="🤔 À évaluer",0,
    E8="⌛️ Évaluation en cours",0.5,
    E8="✅ Point fort confirmé",0,
    E8="💡 Potentiel d'amélioration identifié",1,
    E8="🚫 Non applicable",0,
    TRUE, 0)</f>
        <v>0</v>
      </c>
      <c r="J8" s="83">
        <f t="shared" ref="J8:J12" si="3">ifs(
    G8="Modéré", 
        1,
    G8="Significatif", 
        1.5,
    G8="Déterminant", 
        2,
TRUE,0)
</f>
        <v>1.5</v>
      </c>
      <c r="K8" s="84">
        <f t="shared" ref="K8:K12" si="4">I8*J8</f>
        <v>0</v>
      </c>
      <c r="L8" s="85"/>
      <c r="M8" s="85"/>
    </row>
    <row r="9">
      <c r="A9" s="50"/>
      <c r="B9" s="88" t="s">
        <v>97</v>
      </c>
      <c r="C9" s="74" t="s">
        <v>99</v>
      </c>
      <c r="D9" s="75" t="s">
        <v>100</v>
      </c>
      <c r="E9" s="80" t="s">
        <v>95</v>
      </c>
      <c r="F9" s="74" t="s">
        <v>103</v>
      </c>
      <c r="G9" s="80" t="s">
        <v>85</v>
      </c>
      <c r="H9" s="71"/>
      <c r="I9" s="92">
        <f t="shared" si="2"/>
        <v>1</v>
      </c>
      <c r="J9" s="92">
        <f t="shared" si="3"/>
        <v>2</v>
      </c>
      <c r="K9" s="93">
        <f t="shared" si="4"/>
        <v>2</v>
      </c>
    </row>
    <row r="10">
      <c r="A10" s="50"/>
      <c r="B10" s="88" t="s">
        <v>113</v>
      </c>
      <c r="C10" s="74" t="s">
        <v>115</v>
      </c>
      <c r="D10" s="75" t="s">
        <v>118</v>
      </c>
      <c r="E10" s="80" t="s">
        <v>95</v>
      </c>
      <c r="F10" s="74" t="s">
        <v>121</v>
      </c>
      <c r="G10" s="80" t="s">
        <v>86</v>
      </c>
      <c r="H10" s="71"/>
      <c r="I10" s="83">
        <f t="shared" si="2"/>
        <v>1</v>
      </c>
      <c r="J10" s="83">
        <f t="shared" si="3"/>
        <v>1.5</v>
      </c>
      <c r="K10" s="84">
        <f t="shared" si="4"/>
        <v>1.5</v>
      </c>
    </row>
    <row r="11">
      <c r="A11" s="50"/>
      <c r="B11" s="88" t="s">
        <v>129</v>
      </c>
      <c r="C11" s="74" t="s">
        <v>130</v>
      </c>
      <c r="D11" s="74" t="s">
        <v>131</v>
      </c>
      <c r="E11" s="80" t="s">
        <v>95</v>
      </c>
      <c r="F11" s="74" t="s">
        <v>137</v>
      </c>
      <c r="G11" s="80" t="s">
        <v>86</v>
      </c>
      <c r="H11" s="71"/>
      <c r="I11" s="92">
        <f t="shared" si="2"/>
        <v>1</v>
      </c>
      <c r="J11" s="92">
        <f t="shared" si="3"/>
        <v>1.5</v>
      </c>
      <c r="K11" s="93">
        <f t="shared" si="4"/>
        <v>1.5</v>
      </c>
    </row>
    <row r="12">
      <c r="A12" s="50"/>
      <c r="B12" s="88" t="s">
        <v>146</v>
      </c>
      <c r="C12" s="74" t="s">
        <v>150</v>
      </c>
      <c r="D12" s="75" t="s">
        <v>151</v>
      </c>
      <c r="E12" s="80"/>
      <c r="F12" s="74" t="s">
        <v>152</v>
      </c>
      <c r="G12" s="80" t="s">
        <v>86</v>
      </c>
      <c r="H12" s="71"/>
      <c r="I12" s="83">
        <f t="shared" si="2"/>
        <v>0</v>
      </c>
      <c r="J12" s="83">
        <f t="shared" si="3"/>
        <v>1.5</v>
      </c>
      <c r="K12" s="84">
        <f t="shared" si="4"/>
        <v>0</v>
      </c>
    </row>
    <row r="13" ht="16.5" customHeight="1">
      <c r="A13" s="96"/>
      <c r="B13" s="100"/>
      <c r="C13" s="100"/>
      <c r="D13" s="100"/>
      <c r="E13" s="100"/>
      <c r="F13" s="100"/>
      <c r="G13" s="101"/>
      <c r="H13" s="49"/>
      <c r="I13" s="102"/>
      <c r="J13" s="92"/>
      <c r="K13" s="93"/>
    </row>
    <row r="14">
      <c r="A14" s="103" t="s">
        <v>58</v>
      </c>
      <c r="B14" s="104"/>
      <c r="C14" s="104"/>
      <c r="D14" s="104"/>
      <c r="E14" s="104"/>
      <c r="F14" s="104"/>
      <c r="G14" s="105"/>
      <c r="H14" s="106"/>
      <c r="I14" s="106"/>
      <c r="J14" s="83"/>
      <c r="K14" s="84"/>
    </row>
    <row r="15">
      <c r="A15" s="107"/>
      <c r="B15" s="108"/>
      <c r="C15" s="108"/>
      <c r="D15" s="108"/>
      <c r="E15" s="108"/>
      <c r="F15" s="108"/>
      <c r="G15" s="109"/>
      <c r="H15" s="106"/>
      <c r="I15" s="106"/>
      <c r="J15" s="92"/>
      <c r="K15" s="93"/>
    </row>
  </sheetData>
  <mergeCells count="2">
    <mergeCell ref="C3:D3"/>
    <mergeCell ref="A14:G15"/>
  </mergeCells>
  <dataValidations>
    <dataValidation type="list" allowBlank="1" showInputMessage="1" showErrorMessage="1" prompt="Cliquez ici et saisissez une valeur dans la liste des éléments" sqref="E8:E12">
      <formula1>"🤔 À évaluer,⌛️ Évaluation en cours,✅ Point fort confirmé,💡 Potentiel d'amélioration identifié,🚫 Non applicable"</formula1>
    </dataValidation>
    <dataValidation type="list" allowBlank="1" showErrorMessage="1" sqref="G8:G12">
      <formula1>"Modéré,Significatif,Déterminant"</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5.88"/>
    <col customWidth="1" min="3" max="3" width="38.0"/>
    <col customWidth="1" min="4" max="4" width="48.25"/>
    <col customWidth="1" min="5" max="5" width="20.88"/>
    <col customWidth="1" min="6" max="6" width="55.38"/>
    <col customWidth="1" min="7" max="7" width="22.13"/>
    <col customWidth="1" min="8" max="8" width="5.88"/>
    <col customWidth="1" min="9" max="9" width="10.88"/>
    <col customWidth="1" min="10" max="10" width="22.38"/>
  </cols>
  <sheetData>
    <row r="1" ht="16.5" customHeight="1">
      <c r="A1" s="2"/>
      <c r="B1" s="4"/>
      <c r="C1" s="4"/>
      <c r="D1" s="6"/>
      <c r="E1" s="7"/>
      <c r="F1" s="7"/>
      <c r="G1" s="9"/>
      <c r="H1" s="8"/>
      <c r="I1" s="12"/>
      <c r="J1" s="12"/>
      <c r="K1" s="4"/>
    </row>
    <row r="2" ht="23.25" customHeight="1">
      <c r="A2" s="2"/>
      <c r="B2" s="4"/>
      <c r="C2" s="6" t="s">
        <v>65</v>
      </c>
      <c r="D2" s="7"/>
      <c r="E2" s="7"/>
      <c r="F2" s="18" t="s">
        <v>1</v>
      </c>
      <c r="G2" s="19"/>
      <c r="H2" s="8"/>
      <c r="I2" s="25">
        <f t="shared" ref="I2:K2" si="1">SUM(I8:I16)</f>
        <v>3</v>
      </c>
      <c r="J2" s="25">
        <f t="shared" si="1"/>
        <v>12</v>
      </c>
      <c r="K2" s="25">
        <f t="shared" si="1"/>
        <v>3</v>
      </c>
    </row>
    <row r="3" ht="21.0" customHeight="1">
      <c r="A3" s="27"/>
      <c r="B3" s="12"/>
      <c r="C3" s="30" t="s">
        <v>32</v>
      </c>
      <c r="D3" s="32"/>
      <c r="E3" s="12"/>
      <c r="F3" s="38">
        <f>IF(I2= 0, 0,K2 / J2)</f>
        <v>0.25</v>
      </c>
      <c r="G3" s="19"/>
      <c r="H3" s="29"/>
      <c r="I3" s="25"/>
      <c r="J3" s="25"/>
      <c r="K3" s="40"/>
    </row>
    <row r="4" ht="15.0" customHeight="1">
      <c r="A4" s="2"/>
      <c r="B4" s="41"/>
      <c r="C4" s="41"/>
      <c r="D4" s="43"/>
      <c r="E4" s="44"/>
      <c r="F4" s="46" t="s">
        <v>61</v>
      </c>
      <c r="G4" s="19"/>
      <c r="H4" s="8"/>
      <c r="I4" s="48" t="s">
        <v>62</v>
      </c>
      <c r="J4" s="48" t="s">
        <v>63</v>
      </c>
      <c r="K4" s="48" t="s">
        <v>64</v>
      </c>
    </row>
    <row r="5">
      <c r="A5" s="50"/>
      <c r="B5" s="51"/>
      <c r="C5" s="52"/>
      <c r="D5" s="51"/>
      <c r="E5" s="53"/>
      <c r="F5" s="54"/>
      <c r="G5" s="54"/>
      <c r="H5" s="55"/>
      <c r="I5" s="55"/>
      <c r="J5" s="49"/>
      <c r="K5" s="51"/>
    </row>
    <row r="6" ht="12.0" customHeight="1">
      <c r="A6" s="50"/>
      <c r="B6" s="56"/>
      <c r="C6" s="57"/>
      <c r="D6" s="56"/>
      <c r="E6" s="58"/>
      <c r="F6" s="59"/>
      <c r="G6" s="59"/>
      <c r="H6" s="49"/>
      <c r="I6" s="55"/>
      <c r="J6" s="49"/>
      <c r="K6" s="56"/>
    </row>
    <row r="7">
      <c r="A7" s="50"/>
      <c r="B7" s="61" t="s">
        <v>66</v>
      </c>
      <c r="C7" s="62" t="s">
        <v>68</v>
      </c>
      <c r="D7" s="62" t="s">
        <v>69</v>
      </c>
      <c r="E7" s="62" t="s">
        <v>70</v>
      </c>
      <c r="F7" s="67" t="s">
        <v>71</v>
      </c>
      <c r="G7" s="69" t="s">
        <v>72</v>
      </c>
      <c r="H7" s="49"/>
    </row>
    <row r="8">
      <c r="A8" s="50"/>
      <c r="B8" s="82">
        <v>45660.0</v>
      </c>
      <c r="C8" s="74" t="s">
        <v>87</v>
      </c>
      <c r="D8" s="75" t="s">
        <v>88</v>
      </c>
      <c r="E8" s="80"/>
      <c r="F8" s="74" t="s">
        <v>89</v>
      </c>
      <c r="G8" s="80" t="s">
        <v>86</v>
      </c>
      <c r="H8" s="71"/>
      <c r="I8" s="83">
        <f t="shared" ref="I8:I15" si="2">ifs(
    E8="🤔 À évaluer",0,
    E8="⌛️ Évaluation en cours",0.5,
    E8="✅ Point fort confirmé",0,
    E8="💡 Potentiel d'amélioration identifié",1,
    E8="🚫 Non applicable",0,
    TRUE, 0)</f>
        <v>0</v>
      </c>
      <c r="J8" s="83">
        <f t="shared" ref="J8:J15" si="3">ifs(
    G8="Modéré", 
        1,
    G8="Significatif", 
        1.5,
    G8="Déterminant", 
        2,
TRUE,0)
</f>
        <v>1.5</v>
      </c>
      <c r="K8" s="84">
        <f t="shared" ref="K8:K12" si="4">I8*J8</f>
        <v>0</v>
      </c>
      <c r="L8" s="85"/>
      <c r="M8" s="85"/>
    </row>
    <row r="9">
      <c r="A9" s="50"/>
      <c r="B9" s="82">
        <v>45691.0</v>
      </c>
      <c r="C9" s="74" t="s">
        <v>110</v>
      </c>
      <c r="D9" s="75" t="s">
        <v>111</v>
      </c>
      <c r="E9" s="80" t="s">
        <v>95</v>
      </c>
      <c r="F9" s="74" t="s">
        <v>112</v>
      </c>
      <c r="G9" s="80" t="s">
        <v>86</v>
      </c>
      <c r="H9" s="71"/>
      <c r="I9" s="92">
        <f t="shared" si="2"/>
        <v>1</v>
      </c>
      <c r="J9" s="92">
        <f t="shared" si="3"/>
        <v>1.5</v>
      </c>
      <c r="K9" s="93">
        <f t="shared" si="4"/>
        <v>1.5</v>
      </c>
    </row>
    <row r="10">
      <c r="A10" s="50"/>
      <c r="B10" s="82">
        <v>45719.0</v>
      </c>
      <c r="C10" s="74" t="s">
        <v>122</v>
      </c>
      <c r="D10" s="75" t="s">
        <v>123</v>
      </c>
      <c r="E10" s="80"/>
      <c r="F10" s="74" t="s">
        <v>126</v>
      </c>
      <c r="G10" s="80" t="s">
        <v>86</v>
      </c>
      <c r="H10" s="71"/>
      <c r="I10" s="83">
        <f t="shared" si="2"/>
        <v>0</v>
      </c>
      <c r="J10" s="83">
        <f t="shared" si="3"/>
        <v>1.5</v>
      </c>
      <c r="K10" s="84">
        <f t="shared" si="4"/>
        <v>0</v>
      </c>
    </row>
    <row r="11">
      <c r="A11" s="50"/>
      <c r="B11" s="82">
        <v>45780.0</v>
      </c>
      <c r="C11" s="74" t="s">
        <v>132</v>
      </c>
      <c r="D11" s="74" t="s">
        <v>133</v>
      </c>
      <c r="E11" s="80" t="s">
        <v>95</v>
      </c>
      <c r="F11" s="74" t="s">
        <v>136</v>
      </c>
      <c r="G11" s="80" t="s">
        <v>86</v>
      </c>
      <c r="H11" s="71"/>
      <c r="I11" s="92">
        <f t="shared" si="2"/>
        <v>1</v>
      </c>
      <c r="J11" s="92">
        <f t="shared" si="3"/>
        <v>1.5</v>
      </c>
      <c r="K11" s="93">
        <f t="shared" si="4"/>
        <v>1.5</v>
      </c>
    </row>
    <row r="12">
      <c r="A12" s="50"/>
      <c r="B12" s="82">
        <v>45811.0</v>
      </c>
      <c r="C12" s="74" t="s">
        <v>143</v>
      </c>
      <c r="D12" s="75" t="s">
        <v>144</v>
      </c>
      <c r="E12" s="80"/>
      <c r="F12" s="74" t="s">
        <v>147</v>
      </c>
      <c r="G12" s="80" t="s">
        <v>86</v>
      </c>
      <c r="H12" s="71"/>
      <c r="I12" s="83">
        <f t="shared" si="2"/>
        <v>0</v>
      </c>
      <c r="J12" s="83">
        <f t="shared" si="3"/>
        <v>1.5</v>
      </c>
      <c r="K12" s="84">
        <f t="shared" si="4"/>
        <v>0</v>
      </c>
    </row>
    <row r="13">
      <c r="A13" s="50"/>
      <c r="B13" s="95">
        <v>45841.0</v>
      </c>
      <c r="C13" s="97" t="s">
        <v>160</v>
      </c>
      <c r="D13" s="99" t="s">
        <v>166</v>
      </c>
      <c r="E13" s="80"/>
      <c r="F13" s="97" t="s">
        <v>169</v>
      </c>
      <c r="G13" s="80" t="s">
        <v>86</v>
      </c>
      <c r="H13" s="71"/>
      <c r="I13" s="92">
        <f t="shared" si="2"/>
        <v>0</v>
      </c>
      <c r="J13" s="92">
        <f t="shared" si="3"/>
        <v>1.5</v>
      </c>
      <c r="K13" s="93"/>
    </row>
    <row r="14">
      <c r="A14" s="50"/>
      <c r="B14" s="95">
        <v>45872.0</v>
      </c>
      <c r="C14" s="97" t="s">
        <v>183</v>
      </c>
      <c r="D14" s="99" t="s">
        <v>184</v>
      </c>
      <c r="E14" s="80" t="s">
        <v>95</v>
      </c>
      <c r="F14" s="97" t="s">
        <v>187</v>
      </c>
      <c r="G14" s="80" t="s">
        <v>86</v>
      </c>
      <c r="H14" s="71"/>
      <c r="I14" s="83">
        <f t="shared" si="2"/>
        <v>1</v>
      </c>
      <c r="J14" s="83">
        <f t="shared" si="3"/>
        <v>1.5</v>
      </c>
      <c r="K14" s="84"/>
    </row>
    <row r="15">
      <c r="A15" s="50"/>
      <c r="B15" s="95">
        <v>45903.0</v>
      </c>
      <c r="C15" s="97" t="s">
        <v>194</v>
      </c>
      <c r="D15" s="99" t="s">
        <v>196</v>
      </c>
      <c r="E15" s="80"/>
      <c r="F15" s="97" t="s">
        <v>198</v>
      </c>
      <c r="G15" s="80" t="s">
        <v>86</v>
      </c>
      <c r="H15" s="71"/>
      <c r="I15" s="92">
        <f t="shared" si="2"/>
        <v>0</v>
      </c>
      <c r="J15" s="92">
        <f t="shared" si="3"/>
        <v>1.5</v>
      </c>
      <c r="K15" s="93"/>
    </row>
    <row r="16">
      <c r="A16" s="50"/>
      <c r="B16" s="100"/>
      <c r="C16" s="100"/>
      <c r="D16" s="100"/>
      <c r="E16" s="100"/>
      <c r="F16" s="100"/>
      <c r="G16" s="101"/>
      <c r="H16" s="49"/>
      <c r="I16" s="111"/>
      <c r="J16" s="83"/>
      <c r="K16" s="84"/>
    </row>
    <row r="17">
      <c r="A17" s="103"/>
      <c r="B17" s="113"/>
      <c r="C17" s="113"/>
      <c r="D17" s="113"/>
      <c r="E17" s="113"/>
      <c r="F17" s="113"/>
      <c r="G17" s="116"/>
      <c r="H17" s="106"/>
      <c r="I17" s="106"/>
      <c r="J17" s="92"/>
      <c r="K17" s="93"/>
    </row>
    <row r="18">
      <c r="A18" s="117"/>
      <c r="B18" s="118"/>
      <c r="C18" s="118"/>
      <c r="D18" s="118"/>
      <c r="E18" s="118"/>
      <c r="F18" s="118"/>
      <c r="G18" s="119"/>
      <c r="H18" s="106"/>
      <c r="I18" s="106"/>
      <c r="J18" s="83"/>
      <c r="K18" s="84"/>
    </row>
  </sheetData>
  <mergeCells count="2">
    <mergeCell ref="C3:D3"/>
    <mergeCell ref="A17:G18"/>
  </mergeCells>
  <dataValidations>
    <dataValidation type="list" allowBlank="1" showInputMessage="1" showErrorMessage="1" prompt="Cliquez ici et saisissez une valeur dans la liste des éléments" sqref="E8:E15">
      <formula1>"🤔 À évaluer,⌛️ Évaluation en cours,✅ Point fort confirmé,💡 Potentiel d'amélioration identifié,🚫 Non applicable"</formula1>
    </dataValidation>
    <dataValidation type="list" allowBlank="1" showErrorMessage="1" sqref="G8:G15">
      <formula1>"Modéré,Significatif,Déterminant"</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7.0" topLeftCell="A8" activePane="bottomLeft" state="frozen"/>
      <selection activeCell="B9" sqref="B9" pane="bottomLeft"/>
    </sheetView>
  </sheetViews>
  <sheetFormatPr customHeight="1" defaultColWidth="12.63" defaultRowHeight="15.75"/>
  <cols>
    <col customWidth="1" min="1" max="2" width="5.88"/>
    <col customWidth="1" min="3" max="3" width="32.0"/>
    <col customWidth="1" min="4" max="4" width="48.25"/>
    <col customWidth="1" min="5" max="5" width="20.88"/>
    <col customWidth="1" min="6" max="6" width="55.38"/>
    <col customWidth="1" min="7" max="7" width="22.13"/>
    <col customWidth="1" min="8" max="8" width="5.88"/>
    <col customWidth="1" hidden="1" min="9" max="9" width="10.88"/>
    <col customWidth="1" hidden="1" min="10" max="10" width="22.38"/>
    <col hidden="1" min="11" max="11" width="12.63"/>
  </cols>
  <sheetData>
    <row r="1" ht="16.5" customHeight="1">
      <c r="A1" s="2"/>
      <c r="B1" s="4"/>
      <c r="C1" s="4"/>
      <c r="D1" s="6"/>
      <c r="E1" s="7"/>
      <c r="F1" s="7"/>
      <c r="G1" s="9"/>
      <c r="H1" s="8"/>
      <c r="I1" s="12"/>
      <c r="J1" s="12"/>
      <c r="K1" s="4"/>
    </row>
    <row r="2" ht="23.25" customHeight="1">
      <c r="A2" s="2"/>
      <c r="B2" s="4"/>
      <c r="C2" s="6" t="s">
        <v>231</v>
      </c>
      <c r="D2" s="7"/>
      <c r="E2" s="7"/>
      <c r="F2" s="18" t="s">
        <v>1</v>
      </c>
      <c r="G2" s="19"/>
      <c r="H2" s="8"/>
      <c r="I2" s="25">
        <f t="shared" ref="I2:K2" si="1">SUM(I8:I14)</f>
        <v>3</v>
      </c>
      <c r="J2" s="25">
        <f t="shared" si="1"/>
        <v>8</v>
      </c>
      <c r="K2" s="25">
        <f t="shared" si="1"/>
        <v>4.5</v>
      </c>
    </row>
    <row r="3" ht="21.0" customHeight="1">
      <c r="A3" s="27"/>
      <c r="B3" s="12"/>
      <c r="C3" s="30" t="s">
        <v>32</v>
      </c>
      <c r="D3" s="32"/>
      <c r="E3" s="12"/>
      <c r="F3" s="38">
        <f>IF(I2= 0, 0,K2 / J2)</f>
        <v>0.5625</v>
      </c>
      <c r="G3" s="19"/>
      <c r="H3" s="29"/>
      <c r="I3" s="25"/>
      <c r="J3" s="25"/>
      <c r="K3" s="40"/>
    </row>
    <row r="4" ht="15.0" customHeight="1">
      <c r="A4" s="2"/>
      <c r="B4" s="41"/>
      <c r="C4" s="41"/>
      <c r="D4" s="43"/>
      <c r="E4" s="44"/>
      <c r="F4" s="46" t="s">
        <v>61</v>
      </c>
      <c r="G4" s="19"/>
      <c r="H4" s="8"/>
      <c r="I4" s="48" t="s">
        <v>62</v>
      </c>
      <c r="J4" s="48" t="s">
        <v>63</v>
      </c>
      <c r="K4" s="48" t="s">
        <v>64</v>
      </c>
    </row>
    <row r="5">
      <c r="A5" s="50"/>
      <c r="B5" s="51"/>
      <c r="C5" s="52"/>
      <c r="D5" s="51"/>
      <c r="E5" s="53"/>
      <c r="F5" s="54"/>
      <c r="G5" s="54"/>
      <c r="H5" s="55"/>
      <c r="I5" s="55"/>
      <c r="J5" s="49"/>
      <c r="K5" s="51"/>
    </row>
    <row r="6" ht="12.0" customHeight="1">
      <c r="A6" s="50"/>
      <c r="B6" s="56"/>
      <c r="C6" s="57"/>
      <c r="D6" s="56"/>
      <c r="E6" s="58"/>
      <c r="F6" s="59"/>
      <c r="G6" s="59"/>
      <c r="H6" s="49"/>
      <c r="I6" s="55"/>
      <c r="J6" s="49"/>
      <c r="K6" s="56"/>
    </row>
    <row r="7">
      <c r="A7" s="50"/>
      <c r="B7" s="61" t="s">
        <v>237</v>
      </c>
      <c r="C7" s="62" t="s">
        <v>68</v>
      </c>
      <c r="D7" s="62" t="s">
        <v>69</v>
      </c>
      <c r="E7" s="62" t="s">
        <v>70</v>
      </c>
      <c r="F7" s="67" t="s">
        <v>71</v>
      </c>
      <c r="G7" s="69" t="s">
        <v>72</v>
      </c>
      <c r="H7" s="49"/>
    </row>
    <row r="8">
      <c r="A8" s="50"/>
      <c r="B8" s="82">
        <v>45661.0</v>
      </c>
      <c r="C8" s="74" t="s">
        <v>238</v>
      </c>
      <c r="D8" s="75" t="s">
        <v>239</v>
      </c>
      <c r="E8" s="80" t="s">
        <v>95</v>
      </c>
      <c r="F8" s="74" t="s">
        <v>240</v>
      </c>
      <c r="G8" s="80" t="s">
        <v>86</v>
      </c>
      <c r="H8" s="71"/>
      <c r="I8" s="83">
        <f t="shared" ref="I8:I13" si="2">ifs(
    E8="🤔 À évaluer",0,
    E8="⌛️ Évaluation en cours",0.5,
    E8="✅ Point fort confirmé",0,
    E8="💡 Potentiel d'amélioration identifié",1,
    E8="🚫 Non applicable",0,
    TRUE, 0)</f>
        <v>1</v>
      </c>
      <c r="J8" s="83">
        <f t="shared" ref="J8:J13" si="3">ifs(
    G8="Modéré", 
        1,
    G8="Significatif", 
        1.5,
    G8="Déterminant", 
        2,
TRUE,0)
</f>
        <v>1.5</v>
      </c>
      <c r="K8" s="84">
        <f t="shared" ref="K8:K12" si="4">I8*J8</f>
        <v>1.5</v>
      </c>
      <c r="L8" s="85"/>
      <c r="M8" s="85"/>
    </row>
    <row r="9">
      <c r="A9" s="50"/>
      <c r="B9" s="82">
        <v>45692.0</v>
      </c>
      <c r="C9" s="74" t="s">
        <v>244</v>
      </c>
      <c r="D9" s="75" t="s">
        <v>245</v>
      </c>
      <c r="E9" s="80" t="s">
        <v>95</v>
      </c>
      <c r="F9" s="74" t="s">
        <v>246</v>
      </c>
      <c r="G9" s="80" t="s">
        <v>86</v>
      </c>
      <c r="H9" s="71"/>
      <c r="I9" s="92">
        <f t="shared" si="2"/>
        <v>1</v>
      </c>
      <c r="J9" s="92">
        <f t="shared" si="3"/>
        <v>1.5</v>
      </c>
      <c r="K9" s="93">
        <f t="shared" si="4"/>
        <v>1.5</v>
      </c>
    </row>
    <row r="10">
      <c r="A10" s="50"/>
      <c r="B10" s="82">
        <v>45720.0</v>
      </c>
      <c r="C10" s="74" t="s">
        <v>248</v>
      </c>
      <c r="D10" s="75" t="s">
        <v>249</v>
      </c>
      <c r="E10" s="80" t="s">
        <v>81</v>
      </c>
      <c r="F10" s="74" t="s">
        <v>250</v>
      </c>
      <c r="G10" s="80" t="s">
        <v>86</v>
      </c>
      <c r="H10" s="71"/>
      <c r="I10" s="83">
        <f t="shared" si="2"/>
        <v>0</v>
      </c>
      <c r="J10" s="83">
        <f t="shared" si="3"/>
        <v>1.5</v>
      </c>
      <c r="K10" s="84">
        <f t="shared" si="4"/>
        <v>0</v>
      </c>
    </row>
    <row r="11">
      <c r="A11" s="50"/>
      <c r="B11" s="82">
        <v>45751.0</v>
      </c>
      <c r="C11" s="74" t="s">
        <v>251</v>
      </c>
      <c r="D11" s="74" t="s">
        <v>252</v>
      </c>
      <c r="E11" s="80" t="s">
        <v>95</v>
      </c>
      <c r="F11" s="74" t="s">
        <v>253</v>
      </c>
      <c r="G11" s="80" t="s">
        <v>86</v>
      </c>
      <c r="H11" s="71"/>
      <c r="I11" s="92">
        <f t="shared" si="2"/>
        <v>1</v>
      </c>
      <c r="J11" s="92">
        <f t="shared" si="3"/>
        <v>1.5</v>
      </c>
      <c r="K11" s="93">
        <f t="shared" si="4"/>
        <v>1.5</v>
      </c>
    </row>
    <row r="12">
      <c r="A12" s="50"/>
      <c r="B12" s="82">
        <v>45781.0</v>
      </c>
      <c r="C12" s="74" t="s">
        <v>256</v>
      </c>
      <c r="D12" s="75" t="s">
        <v>258</v>
      </c>
      <c r="E12" s="80"/>
      <c r="F12" s="74" t="s">
        <v>260</v>
      </c>
      <c r="G12" s="80" t="s">
        <v>120</v>
      </c>
      <c r="H12" s="71"/>
      <c r="I12" s="83">
        <f t="shared" si="2"/>
        <v>0</v>
      </c>
      <c r="J12" s="83">
        <f t="shared" si="3"/>
        <v>1</v>
      </c>
      <c r="K12" s="84">
        <f t="shared" si="4"/>
        <v>0</v>
      </c>
    </row>
    <row r="13" ht="204.75" customHeight="1">
      <c r="A13" s="50"/>
      <c r="B13" s="82">
        <v>45812.0</v>
      </c>
      <c r="C13" s="97" t="s">
        <v>261</v>
      </c>
      <c r="D13" s="99" t="s">
        <v>264</v>
      </c>
      <c r="E13" s="80"/>
      <c r="F13" s="97" t="s">
        <v>267</v>
      </c>
      <c r="G13" s="80" t="s">
        <v>120</v>
      </c>
      <c r="H13" s="71"/>
      <c r="I13" s="92">
        <f t="shared" si="2"/>
        <v>0</v>
      </c>
      <c r="J13" s="92">
        <f t="shared" si="3"/>
        <v>1</v>
      </c>
      <c r="K13" s="93"/>
    </row>
    <row r="14">
      <c r="A14" s="50"/>
      <c r="B14" s="100"/>
      <c r="C14" s="100"/>
      <c r="D14" s="100"/>
      <c r="E14" s="100"/>
      <c r="F14" s="100"/>
      <c r="G14" s="101"/>
      <c r="H14" s="49"/>
      <c r="I14" s="111"/>
      <c r="J14" s="83"/>
      <c r="K14" s="84"/>
    </row>
    <row r="15">
      <c r="A15" s="103"/>
      <c r="B15" s="113"/>
      <c r="C15" s="113"/>
      <c r="D15" s="113"/>
      <c r="E15" s="113"/>
      <c r="F15" s="113"/>
      <c r="G15" s="116"/>
      <c r="H15" s="106"/>
      <c r="I15" s="106"/>
      <c r="J15" s="92"/>
      <c r="K15" s="93"/>
    </row>
    <row r="16">
      <c r="A16" s="117"/>
      <c r="B16" s="118"/>
      <c r="C16" s="118"/>
      <c r="D16" s="118"/>
      <c r="E16" s="118"/>
      <c r="F16" s="118"/>
      <c r="G16" s="119"/>
      <c r="H16" s="106"/>
      <c r="I16" s="106"/>
      <c r="J16" s="83"/>
      <c r="K16" s="84"/>
    </row>
  </sheetData>
  <mergeCells count="2">
    <mergeCell ref="C3:D3"/>
    <mergeCell ref="A15:G16"/>
  </mergeCells>
  <dataValidations>
    <dataValidation type="list" allowBlank="1" showInputMessage="1" showErrorMessage="1" prompt="Cliquez ici et saisissez une valeur dans la liste des éléments" sqref="E8:E13">
      <formula1>"🤔 À évaluer,⌛️ Évaluation en cours,✅ Point fort confirmé,💡 Potentiel d'amélioration identifié,🚫 Non applicable"</formula1>
    </dataValidation>
    <dataValidation type="list" allowBlank="1" showErrorMessage="1" sqref="G8:G13">
      <formula1>"Modéré,Significatif,Déterminant"</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7.0" topLeftCell="A8" activePane="bottomLeft" state="frozen"/>
      <selection activeCell="B9" sqref="B9" pane="bottomLeft"/>
    </sheetView>
  </sheetViews>
  <sheetFormatPr customHeight="1" defaultColWidth="12.63" defaultRowHeight="15.75"/>
  <cols>
    <col customWidth="1" min="1" max="2" width="5.88"/>
    <col customWidth="1" min="3" max="3" width="35.75"/>
    <col customWidth="1" min="4" max="4" width="48.25"/>
    <col customWidth="1" min="5" max="5" width="44.0"/>
    <col customWidth="1" min="6" max="6" width="48.13"/>
    <col customWidth="1" min="7" max="7" width="22.13"/>
    <col customWidth="1" min="8" max="8" width="5.88"/>
    <col customWidth="1" hidden="1" min="9" max="9" width="10.88"/>
    <col customWidth="1" hidden="1" min="10" max="10" width="22.38"/>
    <col hidden="1" min="11" max="11" width="12.63"/>
  </cols>
  <sheetData>
    <row r="1" ht="16.5" customHeight="1">
      <c r="A1" s="8"/>
      <c r="B1" s="4"/>
      <c r="C1" s="4"/>
      <c r="D1" s="6"/>
      <c r="E1" s="7"/>
      <c r="F1" s="7"/>
      <c r="G1" s="9"/>
      <c r="H1" s="8"/>
      <c r="I1" s="12"/>
      <c r="J1" s="12"/>
      <c r="K1" s="4"/>
    </row>
    <row r="2" ht="23.25" customHeight="1">
      <c r="A2" s="8"/>
      <c r="B2" s="4"/>
      <c r="C2" s="6" t="s">
        <v>236</v>
      </c>
      <c r="D2" s="7"/>
      <c r="E2" s="7"/>
      <c r="F2" s="18" t="s">
        <v>1</v>
      </c>
      <c r="G2" s="19"/>
      <c r="H2" s="8"/>
      <c r="I2" s="25">
        <f t="shared" ref="I2:J2" si="1">SUM(I8:I17)</f>
        <v>3.5</v>
      </c>
      <c r="J2" s="25">
        <f t="shared" si="1"/>
        <v>13</v>
      </c>
      <c r="K2" s="25">
        <f>SUM(K8:K16)</f>
        <v>4.75</v>
      </c>
    </row>
    <row r="3" ht="21.0" customHeight="1">
      <c r="A3" s="29"/>
      <c r="B3" s="12"/>
      <c r="C3" s="30" t="s">
        <v>32</v>
      </c>
      <c r="D3" s="32"/>
      <c r="E3" s="12"/>
      <c r="F3" s="38">
        <f>IF(I2= 0, 0,K2 / J2)</f>
        <v>0.3653846154</v>
      </c>
      <c r="G3" s="19"/>
      <c r="H3" s="29"/>
      <c r="I3" s="25"/>
      <c r="J3" s="25"/>
      <c r="K3" s="40"/>
    </row>
    <row r="4" ht="15.0" customHeight="1">
      <c r="A4" s="8"/>
      <c r="B4" s="41"/>
      <c r="C4" s="41"/>
      <c r="D4" s="43"/>
      <c r="E4" s="44"/>
      <c r="F4" s="46" t="s">
        <v>61</v>
      </c>
      <c r="G4" s="19"/>
      <c r="H4" s="8"/>
      <c r="I4" s="48" t="s">
        <v>62</v>
      </c>
      <c r="J4" s="48" t="s">
        <v>63</v>
      </c>
      <c r="K4" s="48" t="s">
        <v>64</v>
      </c>
    </row>
    <row r="5">
      <c r="A5" s="49"/>
      <c r="B5" s="51"/>
      <c r="C5" s="52"/>
      <c r="D5" s="51"/>
      <c r="E5" s="53"/>
      <c r="F5" s="54"/>
      <c r="G5" s="54"/>
      <c r="H5" s="55"/>
      <c r="I5" s="55"/>
      <c r="J5" s="49"/>
      <c r="K5" s="51"/>
    </row>
    <row r="6" ht="12.0" customHeight="1">
      <c r="A6" s="49"/>
      <c r="B6" s="56"/>
      <c r="C6" s="57"/>
      <c r="D6" s="56"/>
      <c r="E6" s="58"/>
      <c r="F6" s="59"/>
      <c r="G6" s="59"/>
      <c r="H6" s="49"/>
      <c r="I6" s="55"/>
      <c r="J6" s="49"/>
      <c r="K6" s="56"/>
    </row>
    <row r="7">
      <c r="A7" s="49"/>
      <c r="B7" s="61" t="s">
        <v>237</v>
      </c>
      <c r="C7" s="62" t="s">
        <v>68</v>
      </c>
      <c r="D7" s="62" t="s">
        <v>69</v>
      </c>
      <c r="E7" s="62" t="s">
        <v>70</v>
      </c>
      <c r="F7" s="67" t="s">
        <v>71</v>
      </c>
      <c r="G7" s="69" t="s">
        <v>72</v>
      </c>
      <c r="H7" s="49"/>
    </row>
    <row r="8">
      <c r="A8" s="120"/>
      <c r="B8" s="82">
        <v>45662.0</v>
      </c>
      <c r="C8" s="74" t="s">
        <v>241</v>
      </c>
      <c r="D8" s="75" t="s">
        <v>242</v>
      </c>
      <c r="E8" s="80" t="s">
        <v>81</v>
      </c>
      <c r="F8" s="74" t="s">
        <v>243</v>
      </c>
      <c r="G8" s="80" t="s">
        <v>120</v>
      </c>
      <c r="H8" s="71"/>
      <c r="I8" s="83">
        <f t="shared" ref="I8:I16" si="2">ifs(
    E8="🤔 À évaluer",0,
    E8="⌛️ Évaluation en cours",0.5,
    E8="✅ Point fort confirmé",0,
    E8="💡 Potentiel d'amélioration identifié",1,
    E8="🚫 Non applicable",0,
    TRUE, 0)</f>
        <v>0</v>
      </c>
      <c r="J8" s="83">
        <f t="shared" ref="J8:J16" si="3">ifs(
    G8="Modéré", 
        1,
    G8="Significatif", 
        1.5,
    G8="Déterminant", 
        2,
TRUE,0)
</f>
        <v>1</v>
      </c>
      <c r="K8" s="84">
        <f t="shared" ref="K8:K16" si="4">I8*J8</f>
        <v>0</v>
      </c>
      <c r="L8" s="85"/>
      <c r="M8" s="85"/>
    </row>
    <row r="9">
      <c r="A9" s="120"/>
      <c r="B9" s="82">
        <v>45693.0</v>
      </c>
      <c r="C9" s="74" t="s">
        <v>255</v>
      </c>
      <c r="D9" s="75" t="s">
        <v>257</v>
      </c>
      <c r="E9" s="80" t="s">
        <v>95</v>
      </c>
      <c r="F9" s="74" t="s">
        <v>259</v>
      </c>
      <c r="G9" s="80" t="s">
        <v>86</v>
      </c>
      <c r="H9" s="71"/>
      <c r="I9" s="92">
        <f t="shared" si="2"/>
        <v>1</v>
      </c>
      <c r="J9" s="92">
        <f t="shared" si="3"/>
        <v>1.5</v>
      </c>
      <c r="K9" s="93">
        <f t="shared" si="4"/>
        <v>1.5</v>
      </c>
    </row>
    <row r="10">
      <c r="A10" s="120"/>
      <c r="B10" s="82">
        <v>45721.0</v>
      </c>
      <c r="C10" s="74" t="s">
        <v>262</v>
      </c>
      <c r="D10" s="75" t="s">
        <v>263</v>
      </c>
      <c r="E10" s="80" t="s">
        <v>95</v>
      </c>
      <c r="F10" s="74" t="s">
        <v>265</v>
      </c>
      <c r="G10" s="80" t="s">
        <v>86</v>
      </c>
      <c r="H10" s="71"/>
      <c r="I10" s="83">
        <f t="shared" si="2"/>
        <v>1</v>
      </c>
      <c r="J10" s="83">
        <f t="shared" si="3"/>
        <v>1.5</v>
      </c>
      <c r="K10" s="84">
        <f t="shared" si="4"/>
        <v>1.5</v>
      </c>
    </row>
    <row r="11">
      <c r="A11" s="120"/>
      <c r="B11" s="82">
        <v>45752.0</v>
      </c>
      <c r="C11" s="74" t="s">
        <v>269</v>
      </c>
      <c r="D11" s="123" t="s">
        <v>271</v>
      </c>
      <c r="E11" s="80" t="s">
        <v>95</v>
      </c>
      <c r="F11" s="74" t="s">
        <v>273</v>
      </c>
      <c r="G11" s="80" t="s">
        <v>120</v>
      </c>
      <c r="H11" s="71"/>
      <c r="I11" s="92">
        <f t="shared" si="2"/>
        <v>1</v>
      </c>
      <c r="J11" s="92">
        <f t="shared" si="3"/>
        <v>1</v>
      </c>
      <c r="K11" s="93">
        <f t="shared" si="4"/>
        <v>1</v>
      </c>
    </row>
    <row r="12">
      <c r="A12" s="120"/>
      <c r="B12" s="82">
        <v>45782.0</v>
      </c>
      <c r="C12" s="74" t="s">
        <v>274</v>
      </c>
      <c r="D12" s="75" t="s">
        <v>275</v>
      </c>
      <c r="E12" s="80" t="s">
        <v>81</v>
      </c>
      <c r="F12" s="74" t="s">
        <v>276</v>
      </c>
      <c r="G12" s="80" t="s">
        <v>86</v>
      </c>
      <c r="H12" s="71"/>
      <c r="I12" s="83">
        <f t="shared" si="2"/>
        <v>0</v>
      </c>
      <c r="J12" s="83">
        <f t="shared" si="3"/>
        <v>1.5</v>
      </c>
      <c r="K12" s="84">
        <f t="shared" si="4"/>
        <v>0</v>
      </c>
    </row>
    <row r="13" ht="60.75" customHeight="1">
      <c r="A13" s="120"/>
      <c r="B13" s="82">
        <v>45813.0</v>
      </c>
      <c r="C13" s="97" t="s">
        <v>277</v>
      </c>
      <c r="D13" s="99" t="s">
        <v>278</v>
      </c>
      <c r="E13" s="80" t="s">
        <v>279</v>
      </c>
      <c r="F13" s="97" t="s">
        <v>280</v>
      </c>
      <c r="G13" s="80" t="s">
        <v>86</v>
      </c>
      <c r="H13" s="71"/>
      <c r="I13" s="92">
        <f t="shared" si="2"/>
        <v>0.5</v>
      </c>
      <c r="J13" s="92">
        <f t="shared" si="3"/>
        <v>1.5</v>
      </c>
      <c r="K13" s="93">
        <f t="shared" si="4"/>
        <v>0.75</v>
      </c>
    </row>
    <row r="14">
      <c r="A14" s="120"/>
      <c r="B14" s="82">
        <v>45843.0</v>
      </c>
      <c r="C14" s="97" t="s">
        <v>284</v>
      </c>
      <c r="D14" s="99" t="s">
        <v>285</v>
      </c>
      <c r="E14" s="80" t="s">
        <v>287</v>
      </c>
      <c r="F14" s="97" t="s">
        <v>288</v>
      </c>
      <c r="G14" s="80" t="s">
        <v>120</v>
      </c>
      <c r="H14" s="71"/>
      <c r="I14" s="83">
        <f t="shared" si="2"/>
        <v>0</v>
      </c>
      <c r="J14" s="83">
        <f t="shared" si="3"/>
        <v>1</v>
      </c>
      <c r="K14" s="84">
        <f t="shared" si="4"/>
        <v>0</v>
      </c>
    </row>
    <row r="15">
      <c r="A15" s="120"/>
      <c r="B15" s="82">
        <v>45874.0</v>
      </c>
      <c r="C15" s="97" t="s">
        <v>290</v>
      </c>
      <c r="D15" s="99" t="s">
        <v>291</v>
      </c>
      <c r="E15" s="80" t="s">
        <v>108</v>
      </c>
      <c r="F15" s="97" t="s">
        <v>293</v>
      </c>
      <c r="G15" s="80" t="s">
        <v>85</v>
      </c>
      <c r="H15" s="71"/>
      <c r="I15" s="92">
        <f t="shared" si="2"/>
        <v>0</v>
      </c>
      <c r="J15" s="92">
        <f t="shared" si="3"/>
        <v>2</v>
      </c>
      <c r="K15" s="93">
        <f t="shared" si="4"/>
        <v>0</v>
      </c>
    </row>
    <row r="16">
      <c r="A16" s="112"/>
      <c r="B16" s="82">
        <v>45905.0</v>
      </c>
      <c r="C16" s="97" t="s">
        <v>294</v>
      </c>
      <c r="D16" s="99" t="s">
        <v>100</v>
      </c>
      <c r="E16" s="80"/>
      <c r="F16" s="97" t="s">
        <v>296</v>
      </c>
      <c r="G16" s="80" t="s">
        <v>85</v>
      </c>
      <c r="H16" s="49"/>
      <c r="I16" s="83">
        <f t="shared" si="2"/>
        <v>0</v>
      </c>
      <c r="J16" s="83">
        <f t="shared" si="3"/>
        <v>2</v>
      </c>
      <c r="K16" s="84">
        <f t="shared" si="4"/>
        <v>0</v>
      </c>
    </row>
    <row r="17">
      <c r="A17" s="125"/>
      <c r="B17" s="126"/>
      <c r="C17" s="125"/>
      <c r="D17" s="125"/>
      <c r="E17" s="125"/>
      <c r="F17" s="125"/>
      <c r="G17" s="127"/>
      <c r="H17" s="125"/>
      <c r="I17" s="102"/>
      <c r="J17" s="92"/>
      <c r="K17" s="93"/>
    </row>
    <row r="18">
      <c r="A18" s="103" t="s">
        <v>58</v>
      </c>
      <c r="B18" s="104"/>
      <c r="C18" s="104"/>
      <c r="D18" s="104"/>
      <c r="E18" s="104"/>
      <c r="F18" s="104"/>
      <c r="G18" s="105"/>
      <c r="H18" s="106"/>
      <c r="I18" s="106"/>
      <c r="J18" s="83"/>
      <c r="K18" s="84"/>
    </row>
    <row r="19">
      <c r="A19" s="107"/>
      <c r="B19" s="108"/>
      <c r="C19" s="108"/>
      <c r="D19" s="108"/>
      <c r="E19" s="108"/>
      <c r="F19" s="108"/>
      <c r="G19" s="109"/>
      <c r="H19" s="106"/>
      <c r="I19" s="106"/>
      <c r="J19" s="92"/>
      <c r="K19" s="93"/>
    </row>
  </sheetData>
  <mergeCells count="2">
    <mergeCell ref="C3:D3"/>
    <mergeCell ref="A18:G19"/>
  </mergeCells>
  <dataValidations>
    <dataValidation type="list" allowBlank="1" showInputMessage="1" showErrorMessage="1" prompt="Cliquez ici et saisissez une valeur dans la liste des éléments" sqref="E8:E16">
      <formula1>"🤔 À évaluer,⌛️ Évaluation en cours,✅ Point fort confirmé,💡 Potentiel d'amélioration identifié,🚫 Non applicable"</formula1>
    </dataValidation>
    <dataValidation type="list" allowBlank="1" showErrorMessage="1" sqref="G8:G16">
      <formula1>"Modéré,Significatif,Déterminant"</formula1>
    </dataValidation>
  </dataValidations>
  <hyperlinks>
    <hyperlink r:id="rId4" ref="D11"/>
  </hyperlinks>
  <drawing r:id="rId5"/>
  <legacyDrawing r:id="rId6"/>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7.0" topLeftCell="A8" activePane="bottomLeft" state="frozen"/>
      <selection activeCell="B9" sqref="B9" pane="bottomLeft"/>
    </sheetView>
  </sheetViews>
  <sheetFormatPr customHeight="1" defaultColWidth="12.63" defaultRowHeight="15.75"/>
  <cols>
    <col customWidth="1" min="1" max="2" width="5.88"/>
    <col customWidth="1" min="3" max="3" width="40.13"/>
    <col customWidth="1" min="4" max="4" width="51.88"/>
    <col customWidth="1" min="5" max="5" width="20.88"/>
    <col customWidth="1" min="6" max="6" width="43.75"/>
    <col customWidth="1" min="7" max="7" width="30.13"/>
    <col customWidth="1" min="8" max="8" width="6.38"/>
    <col customWidth="1" hidden="1" min="9" max="9" width="10.88"/>
    <col customWidth="1" hidden="1" min="10" max="10" width="22.38"/>
    <col hidden="1" min="11" max="11" width="12.63"/>
  </cols>
  <sheetData>
    <row r="1" ht="16.5" customHeight="1">
      <c r="A1" s="2"/>
      <c r="B1" s="4"/>
      <c r="C1" s="4"/>
      <c r="D1" s="6"/>
      <c r="E1" s="9"/>
      <c r="F1" s="7"/>
      <c r="G1" s="9"/>
      <c r="H1" s="4"/>
      <c r="I1" s="12"/>
      <c r="J1" s="12"/>
      <c r="K1" s="4"/>
    </row>
    <row r="2" ht="23.25" customHeight="1">
      <c r="A2" s="2"/>
      <c r="B2" s="4"/>
      <c r="C2" s="6" t="s">
        <v>247</v>
      </c>
      <c r="D2" s="7"/>
      <c r="E2" s="19"/>
      <c r="F2" s="18" t="s">
        <v>1</v>
      </c>
      <c r="G2" s="19"/>
      <c r="H2" s="4"/>
      <c r="I2" s="25">
        <f t="shared" ref="I2:K2" si="1">SUM(I8:I18)</f>
        <v>0</v>
      </c>
      <c r="J2" s="25">
        <f t="shared" si="1"/>
        <v>15.5</v>
      </c>
      <c r="K2" s="25">
        <f t="shared" si="1"/>
        <v>0</v>
      </c>
    </row>
    <row r="3" ht="21.0" customHeight="1">
      <c r="A3" s="27"/>
      <c r="B3" s="12"/>
      <c r="C3" s="30" t="s">
        <v>32</v>
      </c>
      <c r="D3" s="32"/>
      <c r="E3" s="19"/>
      <c r="F3" s="38">
        <f>IF(I2= 0, 0,K2 / J2)</f>
        <v>0</v>
      </c>
      <c r="G3" s="19"/>
      <c r="H3" s="12"/>
      <c r="I3" s="25"/>
      <c r="J3" s="25"/>
      <c r="K3" s="121"/>
    </row>
    <row r="4" ht="15.0" customHeight="1">
      <c r="A4" s="2"/>
      <c r="B4" s="41"/>
      <c r="C4" s="41"/>
      <c r="D4" s="43"/>
      <c r="E4" s="19"/>
      <c r="F4" s="46" t="s">
        <v>61</v>
      </c>
      <c r="G4" s="19"/>
      <c r="H4" s="41"/>
      <c r="I4" s="48" t="s">
        <v>62</v>
      </c>
      <c r="J4" s="48" t="s">
        <v>254</v>
      </c>
      <c r="K4" s="48" t="s">
        <v>64</v>
      </c>
    </row>
    <row r="5">
      <c r="A5" s="50"/>
      <c r="B5" s="51"/>
      <c r="C5" s="52"/>
      <c r="D5" s="51"/>
      <c r="E5" s="54"/>
      <c r="F5" s="53"/>
      <c r="G5" s="54"/>
      <c r="H5" s="52"/>
      <c r="I5" s="55"/>
      <c r="J5" s="49"/>
      <c r="K5" s="51"/>
    </row>
    <row r="6" ht="12.0" customHeight="1">
      <c r="A6" s="50"/>
      <c r="B6" s="56"/>
      <c r="C6" s="57"/>
      <c r="D6" s="56"/>
      <c r="E6" s="59"/>
      <c r="F6" s="58"/>
      <c r="G6" s="59"/>
      <c r="H6" s="52"/>
      <c r="I6" s="55"/>
      <c r="J6" s="49"/>
      <c r="K6" s="56"/>
    </row>
    <row r="7">
      <c r="A7" s="50"/>
      <c r="B7" s="61" t="s">
        <v>237</v>
      </c>
      <c r="C7" s="62" t="s">
        <v>68</v>
      </c>
      <c r="D7" s="62" t="s">
        <v>69</v>
      </c>
      <c r="E7" s="62" t="s">
        <v>70</v>
      </c>
      <c r="F7" s="67" t="s">
        <v>71</v>
      </c>
      <c r="G7" s="69" t="s">
        <v>72</v>
      </c>
      <c r="H7" s="52"/>
    </row>
    <row r="8">
      <c r="A8" s="50"/>
      <c r="B8" s="122" t="s">
        <v>266</v>
      </c>
      <c r="C8" s="74" t="s">
        <v>268</v>
      </c>
      <c r="D8" s="75" t="s">
        <v>270</v>
      </c>
      <c r="E8" s="80"/>
      <c r="F8" s="74" t="s">
        <v>272</v>
      </c>
      <c r="G8" s="80" t="s">
        <v>85</v>
      </c>
      <c r="H8" s="52"/>
      <c r="I8" s="25">
        <f t="shared" ref="I8:I17" si="2">ifs(
    E8="🤔 À évaluer",0,
    E8="⌛️ Évaluation en cours",0.5,
    E8="🟢 Facile à changer",1,
    E8="🟡 Effort modéré",0.5,
    E8="🔴 Difficile à changer",0.25,
    E8="🚫 Non applicable",0,
    TRUE, 0)</f>
        <v>0</v>
      </c>
      <c r="J8" s="25">
        <f t="shared" ref="J8:J17" si="3">ifs(
    G8="Modéré", 
        1,
    G8="Significatif", 
        1.5,
    G8="Déterminant", 
        2,
TRUE,0)
</f>
        <v>2</v>
      </c>
      <c r="K8" s="124">
        <f t="shared" ref="K8:K17" si="4">I8*J8</f>
        <v>0</v>
      </c>
    </row>
    <row r="9">
      <c r="A9" s="50"/>
      <c r="B9" s="82" t="s">
        <v>281</v>
      </c>
      <c r="C9" s="74" t="s">
        <v>282</v>
      </c>
      <c r="D9" s="75" t="s">
        <v>283</v>
      </c>
      <c r="E9" s="80"/>
      <c r="F9" s="74" t="s">
        <v>286</v>
      </c>
      <c r="G9" s="80" t="s">
        <v>86</v>
      </c>
      <c r="H9" s="52"/>
      <c r="I9" s="25">
        <f t="shared" si="2"/>
        <v>0</v>
      </c>
      <c r="J9" s="25">
        <f t="shared" si="3"/>
        <v>1.5</v>
      </c>
      <c r="K9" s="124">
        <f t="shared" si="4"/>
        <v>0</v>
      </c>
      <c r="L9" s="85"/>
      <c r="M9" s="85"/>
    </row>
    <row r="10">
      <c r="A10" s="50"/>
      <c r="B10" s="82" t="s">
        <v>289</v>
      </c>
      <c r="C10" s="123" t="s">
        <v>292</v>
      </c>
      <c r="D10" s="75" t="s">
        <v>295</v>
      </c>
      <c r="E10" s="80"/>
      <c r="F10" s="74" t="s">
        <v>297</v>
      </c>
      <c r="G10" s="80" t="s">
        <v>86</v>
      </c>
      <c r="H10" s="52"/>
      <c r="I10" s="25">
        <f t="shared" si="2"/>
        <v>0</v>
      </c>
      <c r="J10" s="25">
        <f t="shared" si="3"/>
        <v>1.5</v>
      </c>
      <c r="K10" s="124">
        <f t="shared" si="4"/>
        <v>0</v>
      </c>
      <c r="L10" s="85"/>
      <c r="M10" s="85"/>
    </row>
    <row r="11">
      <c r="A11" s="50"/>
      <c r="B11" s="82" t="s">
        <v>298</v>
      </c>
      <c r="C11" s="74" t="s">
        <v>299</v>
      </c>
      <c r="D11" s="75" t="s">
        <v>300</v>
      </c>
      <c r="E11" s="80"/>
      <c r="F11" s="74" t="s">
        <v>301</v>
      </c>
      <c r="G11" s="80" t="s">
        <v>85</v>
      </c>
      <c r="H11" s="52"/>
      <c r="I11" s="25">
        <f t="shared" si="2"/>
        <v>0</v>
      </c>
      <c r="J11" s="25">
        <f t="shared" si="3"/>
        <v>2</v>
      </c>
      <c r="K11" s="124">
        <f t="shared" si="4"/>
        <v>0</v>
      </c>
      <c r="L11" s="85"/>
      <c r="M11" s="85"/>
    </row>
    <row r="12">
      <c r="A12" s="50"/>
      <c r="B12" s="82" t="s">
        <v>302</v>
      </c>
      <c r="C12" s="74" t="s">
        <v>303</v>
      </c>
      <c r="D12" s="75" t="s">
        <v>304</v>
      </c>
      <c r="E12" s="80"/>
      <c r="F12" s="74" t="s">
        <v>305</v>
      </c>
      <c r="G12" s="80" t="s">
        <v>86</v>
      </c>
      <c r="H12" s="52"/>
      <c r="I12" s="25">
        <f t="shared" si="2"/>
        <v>0</v>
      </c>
      <c r="J12" s="25">
        <f t="shared" si="3"/>
        <v>1.5</v>
      </c>
      <c r="K12" s="124">
        <f t="shared" si="4"/>
        <v>0</v>
      </c>
      <c r="L12" s="85"/>
      <c r="M12" s="85"/>
    </row>
    <row r="13">
      <c r="A13" s="50"/>
      <c r="B13" s="82" t="s">
        <v>306</v>
      </c>
      <c r="C13" s="74" t="s">
        <v>307</v>
      </c>
      <c r="D13" s="75" t="s">
        <v>308</v>
      </c>
      <c r="E13" s="80"/>
      <c r="F13" s="74" t="s">
        <v>309</v>
      </c>
      <c r="G13" s="80" t="s">
        <v>85</v>
      </c>
      <c r="H13" s="52"/>
      <c r="I13" s="25">
        <f t="shared" si="2"/>
        <v>0</v>
      </c>
      <c r="J13" s="25">
        <f t="shared" si="3"/>
        <v>2</v>
      </c>
      <c r="K13" s="124">
        <f t="shared" si="4"/>
        <v>0</v>
      </c>
      <c r="L13" s="85"/>
      <c r="M13" s="85"/>
    </row>
    <row r="14">
      <c r="A14" s="50"/>
      <c r="B14" s="82" t="s">
        <v>310</v>
      </c>
      <c r="C14" s="74" t="s">
        <v>311</v>
      </c>
      <c r="D14" s="75" t="s">
        <v>312</v>
      </c>
      <c r="E14" s="80"/>
      <c r="F14" s="74" t="s">
        <v>313</v>
      </c>
      <c r="G14" s="80" t="s">
        <v>86</v>
      </c>
      <c r="H14" s="52"/>
      <c r="I14" s="25">
        <f t="shared" si="2"/>
        <v>0</v>
      </c>
      <c r="J14" s="25">
        <f t="shared" si="3"/>
        <v>1.5</v>
      </c>
      <c r="K14" s="124">
        <f t="shared" si="4"/>
        <v>0</v>
      </c>
      <c r="L14" s="85"/>
      <c r="M14" s="85"/>
    </row>
    <row r="15">
      <c r="A15" s="50"/>
      <c r="B15" s="82" t="s">
        <v>314</v>
      </c>
      <c r="C15" s="74" t="s">
        <v>315</v>
      </c>
      <c r="D15" s="75" t="s">
        <v>316</v>
      </c>
      <c r="E15" s="80"/>
      <c r="F15" s="74" t="s">
        <v>317</v>
      </c>
      <c r="G15" s="80" t="s">
        <v>120</v>
      </c>
      <c r="H15" s="52"/>
      <c r="I15" s="25">
        <f t="shared" si="2"/>
        <v>0</v>
      </c>
      <c r="J15" s="25">
        <f t="shared" si="3"/>
        <v>1</v>
      </c>
      <c r="K15" s="124">
        <f t="shared" si="4"/>
        <v>0</v>
      </c>
      <c r="L15" s="115"/>
      <c r="M15" s="115"/>
    </row>
    <row r="16">
      <c r="A16" s="50"/>
      <c r="B16" s="82" t="s">
        <v>318</v>
      </c>
      <c r="C16" s="74" t="s">
        <v>319</v>
      </c>
      <c r="D16" s="75" t="s">
        <v>320</v>
      </c>
      <c r="E16" s="80"/>
      <c r="F16" s="74" t="s">
        <v>321</v>
      </c>
      <c r="G16" s="80" t="s">
        <v>120</v>
      </c>
      <c r="H16" s="52"/>
      <c r="I16" s="25">
        <f t="shared" si="2"/>
        <v>0</v>
      </c>
      <c r="J16" s="25">
        <f t="shared" si="3"/>
        <v>1</v>
      </c>
      <c r="K16" s="124">
        <f t="shared" si="4"/>
        <v>0</v>
      </c>
      <c r="L16" s="115"/>
      <c r="M16" s="115"/>
    </row>
    <row r="17">
      <c r="A17" s="50"/>
      <c r="B17" s="82" t="s">
        <v>322</v>
      </c>
      <c r="C17" s="74" t="s">
        <v>102</v>
      </c>
      <c r="D17" s="75" t="s">
        <v>323</v>
      </c>
      <c r="E17" s="80"/>
      <c r="F17" s="74" t="s">
        <v>324</v>
      </c>
      <c r="G17" s="80" t="s">
        <v>86</v>
      </c>
      <c r="H17" s="52"/>
      <c r="I17" s="25">
        <f t="shared" si="2"/>
        <v>0</v>
      </c>
      <c r="J17" s="25">
        <f t="shared" si="3"/>
        <v>1.5</v>
      </c>
      <c r="K17" s="124">
        <f t="shared" si="4"/>
        <v>0</v>
      </c>
      <c r="L17" s="115"/>
      <c r="M17" s="115"/>
    </row>
    <row r="18">
      <c r="A18" s="50"/>
      <c r="B18" s="52"/>
      <c r="C18" s="52"/>
      <c r="D18" s="52"/>
      <c r="E18" s="52"/>
      <c r="F18" s="52"/>
      <c r="G18" s="52"/>
      <c r="H18" s="52"/>
      <c r="I18" s="128"/>
    </row>
    <row r="19">
      <c r="A19" s="103"/>
      <c r="B19" s="104"/>
      <c r="C19" s="104"/>
      <c r="D19" s="104"/>
      <c r="E19" s="104"/>
      <c r="F19" s="104"/>
      <c r="G19" s="105"/>
      <c r="H19" s="106"/>
      <c r="I19" s="83"/>
      <c r="J19" s="84"/>
    </row>
    <row r="20">
      <c r="A20" s="107"/>
      <c r="B20" s="108"/>
      <c r="C20" s="108"/>
      <c r="D20" s="108"/>
      <c r="E20" s="108"/>
      <c r="F20" s="108"/>
      <c r="G20" s="109"/>
      <c r="H20" s="106"/>
      <c r="I20" s="92"/>
      <c r="J20" s="93"/>
    </row>
  </sheetData>
  <mergeCells count="2">
    <mergeCell ref="C3:D3"/>
    <mergeCell ref="A19:G20"/>
  </mergeCells>
  <dataValidations>
    <dataValidation type="list" allowBlank="1" showErrorMessage="1" sqref="G8:G17">
      <formula1>"Modéré,Significatif,Déterminant"</formula1>
    </dataValidation>
    <dataValidation type="list" allowBlank="1" showInputMessage="1" showErrorMessage="1" prompt="Cliquez ici et saisissez une valeur dans la liste des éléments" sqref="E8:E17">
      <formula1>"🤔 À évaluer,⌛️ Évaluation en cours,🟢 Facile à changer,🟡 Effort modéré,🔴 Difficile à changer,🚫 Non applicable"</formula1>
    </dataValidation>
  </dataValidations>
  <hyperlinks>
    <hyperlink r:id="rId1" ref="C10"/>
  </hyperlinks>
  <drawing r:id="rId2"/>
  <tableParts count="2">
    <tablePart r:id="rId5"/>
    <tablePart r:id="rId6"/>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88"/>
    <col customWidth="1" min="2" max="2" width="23.63"/>
    <col customWidth="1" min="11" max="11" width="16.13"/>
  </cols>
  <sheetData>
    <row r="1" ht="16.5" customHeight="1">
      <c r="A1" s="129"/>
      <c r="B1" s="4"/>
      <c r="C1" s="4"/>
      <c r="D1" s="6"/>
      <c r="E1" s="7"/>
      <c r="F1" s="7"/>
      <c r="G1" s="9"/>
      <c r="H1" s="8"/>
      <c r="I1" s="12"/>
      <c r="J1" s="12"/>
      <c r="K1" s="4"/>
    </row>
    <row r="2" ht="23.25" customHeight="1">
      <c r="A2" s="8"/>
      <c r="B2" s="130" t="s">
        <v>325</v>
      </c>
      <c r="C2" s="131"/>
      <c r="D2" s="32"/>
      <c r="E2" s="19"/>
      <c r="F2" s="19"/>
      <c r="G2" s="19"/>
      <c r="H2" s="8"/>
      <c r="I2" s="7"/>
      <c r="J2" s="18" t="s">
        <v>326</v>
      </c>
      <c r="K2" s="132"/>
    </row>
    <row r="3" ht="21.0" customHeight="1">
      <c r="A3" s="29"/>
      <c r="B3" s="30" t="s">
        <v>327</v>
      </c>
      <c r="C3" s="131"/>
      <c r="D3" s="131"/>
      <c r="E3" s="131"/>
      <c r="F3" s="32"/>
      <c r="G3" s="19"/>
      <c r="H3" s="29"/>
      <c r="I3" s="12"/>
      <c r="J3" s="38">
        <f>IF(SUM(C7:C11)=0, 0,(('🛖 1-Produit'!K2+'🗺️ 2-Architecture'!K2+'🏢 3-Infrastructure'!K2+'💾 4-Stockage et données'!K2+ '👨‍💻5-Algo &amp; Code'!K2) /
 ('🛖 1-Produit'!J2+'🗺️ 2-Architecture'!J2+'🏢 3-Infrastructure'!J2+'💾 4-Stockage et données'!J2+ '👨‍💻5-Algo &amp; Code'!J2)))</f>
        <v>0.3682170543</v>
      </c>
      <c r="K3" s="133"/>
    </row>
    <row r="4" ht="15.0" customHeight="1">
      <c r="A4" s="8"/>
      <c r="B4" s="41"/>
      <c r="C4" s="43"/>
      <c r="D4" s="19"/>
      <c r="E4" s="19"/>
      <c r="F4" s="19"/>
      <c r="G4" s="19"/>
      <c r="H4" s="8"/>
      <c r="I4" s="44"/>
      <c r="J4" s="46" t="s">
        <v>61</v>
      </c>
      <c r="K4" s="134"/>
    </row>
    <row r="5">
      <c r="A5" s="135"/>
      <c r="B5" s="136"/>
      <c r="C5" s="136"/>
      <c r="D5" s="135"/>
      <c r="E5" s="135"/>
      <c r="F5" s="135"/>
      <c r="G5" s="135"/>
      <c r="H5" s="135"/>
      <c r="I5" s="135"/>
      <c r="J5" s="135"/>
      <c r="K5" s="135"/>
    </row>
    <row r="6">
      <c r="A6" s="137"/>
      <c r="B6" s="138" t="s">
        <v>328</v>
      </c>
      <c r="C6" s="67" t="s">
        <v>329</v>
      </c>
      <c r="D6" s="139"/>
      <c r="E6" s="135"/>
      <c r="F6" s="135"/>
      <c r="G6" s="135"/>
      <c r="H6" s="135"/>
      <c r="I6" s="135"/>
      <c r="J6" s="135"/>
      <c r="K6" s="135"/>
    </row>
    <row r="7">
      <c r="A7" s="137"/>
      <c r="B7" s="140" t="str">
        <f>'🛖 1-Produit'!C2</f>
        <v>🛖 Produit</v>
      </c>
      <c r="C7" s="141">
        <f>'🛖 1-Produit'!F3</f>
        <v>0.2765957447</v>
      </c>
      <c r="D7" s="139"/>
      <c r="E7" s="135"/>
      <c r="F7" s="135"/>
      <c r="G7" s="135"/>
      <c r="H7" s="135"/>
      <c r="I7" s="135"/>
      <c r="J7" s="135"/>
      <c r="K7" s="135"/>
    </row>
    <row r="8">
      <c r="A8" s="137"/>
      <c r="B8" s="142" t="str">
        <f>'🗺️ 2-Architecture'!C2</f>
        <v>🗺️ Architecture</v>
      </c>
      <c r="C8" s="143">
        <f>'🗺️ 2-Architecture'!F3</f>
        <v>0.625</v>
      </c>
      <c r="D8" s="139"/>
      <c r="E8" s="135"/>
      <c r="F8" s="135"/>
      <c r="G8" s="135"/>
      <c r="H8" s="135"/>
      <c r="I8" s="135"/>
      <c r="J8" s="135"/>
      <c r="K8" s="135"/>
    </row>
    <row r="9">
      <c r="A9" s="137"/>
      <c r="B9" s="142" t="str">
        <f>'🏢 3-Infrastructure'!C2</f>
        <v>🏢 Infrastructure</v>
      </c>
      <c r="C9" s="141">
        <f>'🏢 3-Infrastructure'!F3</f>
        <v>0.25</v>
      </c>
      <c r="D9" s="139"/>
      <c r="E9" s="135"/>
      <c r="F9" s="135"/>
      <c r="G9" s="135"/>
      <c r="H9" s="135"/>
      <c r="I9" s="135"/>
      <c r="J9" s="135"/>
      <c r="K9" s="135"/>
    </row>
    <row r="10">
      <c r="A10" s="137"/>
      <c r="B10" s="142" t="str">
        <f>'💾 4-Stockage et données'!C2</f>
        <v>💾 Storage &amp; Data</v>
      </c>
      <c r="C10" s="141">
        <f>'💾 4-Stockage et données'!F3</f>
        <v>0.5625</v>
      </c>
      <c r="D10" s="139"/>
      <c r="E10" s="135"/>
      <c r="F10" s="135"/>
      <c r="G10" s="135"/>
      <c r="H10" s="135"/>
      <c r="I10" s="135"/>
      <c r="J10" s="135"/>
      <c r="K10" s="135"/>
    </row>
    <row r="11">
      <c r="A11" s="137"/>
      <c r="B11" s="142" t="str">
        <f>'👨‍💻5-Algo &amp; Code'!C2</f>
        <v>👨‍💻 Algo &amp; Code</v>
      </c>
      <c r="C11" s="141">
        <f>'👨‍💻5-Algo &amp; Code'!F3</f>
        <v>0.3653846154</v>
      </c>
      <c r="D11" s="139"/>
      <c r="E11" s="135"/>
      <c r="F11" s="135"/>
      <c r="G11" s="135"/>
      <c r="H11" s="135"/>
      <c r="I11" s="135"/>
      <c r="J11" s="135"/>
      <c r="K11" s="135"/>
    </row>
    <row r="12">
      <c r="A12" s="135"/>
      <c r="B12" s="142" t="str">
        <f>'🛠6-Facilité de changement'!C2</f>
        <v>🛠 Facilité de changement</v>
      </c>
      <c r="C12" s="141">
        <f>'🛠6-Facilité de changement'!F3</f>
        <v>0</v>
      </c>
      <c r="D12" s="135"/>
      <c r="E12" s="135"/>
      <c r="F12" s="135"/>
      <c r="G12" s="135"/>
      <c r="H12" s="135"/>
      <c r="I12" s="135"/>
      <c r="J12" s="135"/>
      <c r="K12" s="135"/>
    </row>
    <row r="13">
      <c r="A13" s="135"/>
      <c r="B13" s="135"/>
      <c r="C13" s="135"/>
      <c r="D13" s="135"/>
      <c r="E13" s="135"/>
      <c r="F13" s="135"/>
      <c r="G13" s="135"/>
      <c r="H13" s="135"/>
      <c r="I13" s="135"/>
      <c r="J13" s="135"/>
      <c r="K13" s="135"/>
    </row>
    <row r="14">
      <c r="A14" s="135"/>
      <c r="B14" s="135"/>
      <c r="C14" s="135"/>
      <c r="D14" s="135"/>
      <c r="E14" s="135"/>
      <c r="F14" s="135"/>
      <c r="G14" s="135"/>
      <c r="H14" s="135"/>
      <c r="I14" s="135"/>
      <c r="J14" s="135"/>
      <c r="K14" s="135"/>
    </row>
    <row r="15">
      <c r="A15" s="135"/>
      <c r="B15" s="135"/>
      <c r="C15" s="144"/>
      <c r="D15" s="144"/>
      <c r="E15" s="144"/>
      <c r="F15" s="144"/>
      <c r="G15" s="144"/>
      <c r="H15" s="144"/>
      <c r="I15" s="144"/>
      <c r="J15" s="144"/>
      <c r="K15" s="144"/>
    </row>
    <row r="16">
      <c r="A16" s="135"/>
      <c r="B16" s="135"/>
      <c r="C16" s="135"/>
      <c r="D16" s="135"/>
      <c r="E16" s="135"/>
      <c r="F16" s="135"/>
      <c r="G16" s="135"/>
      <c r="H16" s="135"/>
      <c r="I16" s="135"/>
      <c r="J16" s="135"/>
      <c r="K16" s="135"/>
    </row>
    <row r="17">
      <c r="A17" s="135"/>
      <c r="B17" s="135"/>
      <c r="C17" s="135"/>
      <c r="D17" s="135"/>
      <c r="E17" s="135"/>
      <c r="F17" s="135"/>
      <c r="G17" s="135"/>
      <c r="H17" s="135"/>
      <c r="I17" s="135"/>
      <c r="J17" s="135"/>
      <c r="K17" s="135"/>
    </row>
    <row r="18">
      <c r="A18" s="135"/>
      <c r="B18" s="135"/>
      <c r="C18" s="135"/>
      <c r="D18" s="135"/>
      <c r="E18" s="135"/>
      <c r="F18" s="135"/>
      <c r="G18" s="135"/>
      <c r="H18" s="135"/>
      <c r="I18" s="135"/>
      <c r="J18" s="135"/>
      <c r="K18" s="135"/>
    </row>
    <row r="19">
      <c r="A19" s="135"/>
      <c r="B19" s="135"/>
      <c r="C19" s="135"/>
      <c r="D19" s="135"/>
      <c r="E19" s="135"/>
      <c r="F19" s="135"/>
      <c r="G19" s="135"/>
      <c r="H19" s="135"/>
      <c r="I19" s="135"/>
      <c r="J19" s="135"/>
      <c r="K19" s="135"/>
    </row>
    <row r="20">
      <c r="A20" s="135"/>
      <c r="B20" s="135"/>
      <c r="C20" s="135"/>
      <c r="D20" s="135"/>
      <c r="E20" s="135"/>
      <c r="F20" s="135"/>
      <c r="G20" s="135"/>
      <c r="H20" s="135"/>
      <c r="I20" s="135"/>
      <c r="J20" s="135"/>
      <c r="K20" s="135"/>
    </row>
    <row r="21">
      <c r="A21" s="135"/>
      <c r="B21" s="135"/>
      <c r="C21" s="135"/>
      <c r="D21" s="135"/>
      <c r="E21" s="135"/>
      <c r="F21" s="135"/>
      <c r="G21" s="135"/>
      <c r="H21" s="135"/>
      <c r="I21" s="135"/>
      <c r="J21" s="135"/>
      <c r="K21" s="135"/>
    </row>
    <row r="22">
      <c r="A22" s="135"/>
      <c r="B22" s="135"/>
      <c r="C22" s="135"/>
      <c r="D22" s="135"/>
      <c r="E22" s="135"/>
      <c r="F22" s="135"/>
      <c r="G22" s="135"/>
      <c r="H22" s="135"/>
      <c r="I22" s="135"/>
      <c r="J22" s="135"/>
      <c r="K22" s="135"/>
    </row>
    <row r="23">
      <c r="A23" s="135"/>
      <c r="B23" s="135"/>
      <c r="C23" s="135"/>
      <c r="D23" s="135"/>
      <c r="E23" s="135"/>
      <c r="F23" s="135"/>
      <c r="G23" s="135"/>
      <c r="H23" s="135"/>
      <c r="I23" s="135"/>
      <c r="J23" s="135"/>
      <c r="K23" s="135"/>
    </row>
    <row r="24">
      <c r="A24" s="135"/>
      <c r="B24" s="145" t="s">
        <v>330</v>
      </c>
      <c r="C24" s="135"/>
      <c r="D24" s="135"/>
      <c r="E24" s="135"/>
      <c r="F24" s="135"/>
      <c r="G24" s="135"/>
      <c r="H24" s="135"/>
      <c r="I24" s="135"/>
      <c r="J24" s="135"/>
      <c r="K24" s="135"/>
    </row>
    <row r="25">
      <c r="A25" s="135"/>
      <c r="B25" s="135"/>
      <c r="C25" s="135"/>
      <c r="D25" s="135"/>
      <c r="E25" s="135"/>
      <c r="F25" s="135"/>
      <c r="G25" s="135"/>
      <c r="H25" s="135"/>
      <c r="I25" s="135"/>
      <c r="J25" s="135"/>
      <c r="K25" s="135"/>
    </row>
    <row r="26">
      <c r="A26" s="135"/>
      <c r="B26" s="135"/>
      <c r="C26" s="135"/>
      <c r="D26" s="135"/>
      <c r="E26" s="135"/>
      <c r="F26" s="135"/>
      <c r="G26" s="135"/>
      <c r="H26" s="135"/>
      <c r="I26" s="135"/>
      <c r="J26" s="135"/>
      <c r="K26" s="135"/>
    </row>
    <row r="27">
      <c r="A27" s="135"/>
      <c r="B27" s="135"/>
      <c r="C27" s="135"/>
      <c r="D27" s="135"/>
      <c r="E27" s="135"/>
      <c r="F27" s="135"/>
      <c r="G27" s="135"/>
      <c r="H27" s="135"/>
      <c r="I27" s="135"/>
      <c r="J27" s="135"/>
      <c r="K27" s="135"/>
    </row>
    <row r="28">
      <c r="A28" s="135"/>
      <c r="B28" s="135"/>
      <c r="C28" s="135"/>
      <c r="D28" s="135"/>
      <c r="E28" s="135"/>
      <c r="F28" s="135"/>
      <c r="G28" s="135"/>
      <c r="H28" s="135"/>
      <c r="I28" s="135"/>
      <c r="J28" s="135"/>
      <c r="K28" s="135"/>
    </row>
    <row r="29">
      <c r="A29" s="135"/>
      <c r="B29" s="135"/>
      <c r="C29" s="135"/>
      <c r="D29" s="135"/>
      <c r="E29" s="135"/>
      <c r="F29" s="135"/>
      <c r="G29" s="135"/>
      <c r="H29" s="135"/>
      <c r="I29" s="135"/>
      <c r="J29" s="135"/>
      <c r="K29" s="135"/>
    </row>
    <row r="30">
      <c r="A30" s="135"/>
      <c r="B30" s="135"/>
      <c r="C30" s="135"/>
      <c r="D30" s="135"/>
      <c r="E30" s="135"/>
      <c r="F30" s="135"/>
      <c r="G30" s="135"/>
      <c r="H30" s="135"/>
      <c r="I30" s="135"/>
      <c r="J30" s="135"/>
      <c r="K30" s="135"/>
    </row>
    <row r="31">
      <c r="A31" s="135"/>
      <c r="B31" s="135"/>
      <c r="C31" s="135"/>
      <c r="D31" s="135"/>
      <c r="E31" s="135"/>
      <c r="F31" s="135"/>
      <c r="G31" s="135"/>
      <c r="H31" s="135"/>
      <c r="I31" s="135"/>
      <c r="J31" s="135"/>
      <c r="K31" s="135"/>
    </row>
    <row r="32">
      <c r="A32" s="135"/>
      <c r="B32" s="135"/>
      <c r="C32" s="135"/>
      <c r="D32" s="135"/>
      <c r="E32" s="135"/>
      <c r="F32" s="135"/>
      <c r="G32" s="135"/>
      <c r="H32" s="135"/>
      <c r="I32" s="135"/>
      <c r="J32" s="135"/>
      <c r="K32" s="135"/>
    </row>
    <row r="33">
      <c r="A33" s="103" t="s">
        <v>58</v>
      </c>
      <c r="B33" s="146"/>
      <c r="C33" s="146"/>
      <c r="D33" s="146"/>
      <c r="E33" s="146"/>
      <c r="F33" s="146"/>
      <c r="G33" s="146"/>
      <c r="H33" s="146"/>
      <c r="I33" s="146"/>
      <c r="J33" s="146"/>
      <c r="K33" s="147"/>
    </row>
    <row r="34">
      <c r="A34" s="148"/>
      <c r="K34" s="149"/>
    </row>
    <row r="35" hidden="1">
      <c r="A35" s="107"/>
      <c r="B35" s="108"/>
      <c r="C35" s="108"/>
      <c r="D35" s="108"/>
      <c r="E35" s="108"/>
      <c r="F35" s="108"/>
      <c r="G35" s="108"/>
      <c r="H35" s="108"/>
      <c r="I35" s="108"/>
      <c r="J35" s="108"/>
      <c r="K35" s="109"/>
    </row>
    <row r="36" hidden="1">
      <c r="A36" s="150" t="s">
        <v>331</v>
      </c>
      <c r="B36" s="151">
        <f>COUNTA('🏦 0-Diagnostic rapide'!C9:C27)</f>
        <v>16</v>
      </c>
    </row>
    <row r="37" hidden="1">
      <c r="A37" s="152" t="s">
        <v>332</v>
      </c>
      <c r="B37" s="153">
        <f>COUNTA('🛖 1-Produit'!C8:C57)+COUNTA(#REF!)+COUNTA('🏢 -3- Infrastructure (💬)'!C4:C50)+COUNTA('💾-4-Storage&amp;Data (💬)'!C4:C52)+COUNTA('👨‍💻-5-Algo &amp; Code (✅)'!C4:C50)</f>
        <v>20</v>
      </c>
    </row>
    <row r="38" hidden="1">
      <c r="A38" s="154" t="s">
        <v>333</v>
      </c>
      <c r="B38" s="151">
        <f>COUNTA('🛠6-Facilité de changement'!C8:C20)</f>
        <v>10</v>
      </c>
    </row>
    <row r="39" hidden="1">
      <c r="A39" s="155" t="s">
        <v>334</v>
      </c>
      <c r="B39" s="156">
        <f>SUM(B36:B38)</f>
        <v>46</v>
      </c>
    </row>
    <row r="40" hidden="1"/>
    <row r="41" hidden="1"/>
    <row r="42" hidden="1"/>
    <row r="43" hidden="1"/>
    <row r="44" hidden="1"/>
    <row r="45" hidden="1"/>
    <row r="46" hidden="1"/>
    <row r="47" hidden="1"/>
    <row r="48" hidden="1"/>
    <row r="49" hidden="1"/>
    <row r="50" hidden="1"/>
    <row r="51" hidden="1"/>
    <row r="52" hidden="1"/>
    <row r="53" hidden="1"/>
    <row r="54" hidden="1"/>
    <row r="55" hidden="1"/>
    <row r="56" hidden="1"/>
    <row r="57" hidden="1"/>
    <row r="58" hidden="1"/>
    <row r="59" hidden="1"/>
    <row r="60" hidden="1"/>
    <row r="61" hidden="1"/>
    <row r="62" hidden="1"/>
    <row r="63" hidden="1"/>
    <row r="64" hidden="1"/>
    <row r="65" hidden="1"/>
    <row r="66" hidden="1"/>
    <row r="67" hidden="1"/>
    <row r="68" hidden="1"/>
    <row r="69" hidden="1"/>
    <row r="70" hidden="1"/>
    <row r="71" hidden="1"/>
    <row r="72" hidden="1"/>
    <row r="73" hidden="1"/>
    <row r="74" hidden="1"/>
    <row r="75" hidden="1"/>
    <row r="76" hidden="1"/>
    <row r="77" hidden="1"/>
    <row r="78" hidden="1"/>
    <row r="79" hidden="1"/>
    <row r="80" hidden="1"/>
    <row r="81" hidden="1"/>
    <row r="82" hidden="1"/>
    <row r="83" hidden="1"/>
    <row r="84" hidden="1"/>
    <row r="85" hidden="1"/>
    <row r="86" hidden="1"/>
    <row r="87" hidden="1"/>
    <row r="88" hidden="1"/>
    <row r="89" hidden="1"/>
    <row r="90" hidden="1"/>
    <row r="91" hidden="1"/>
    <row r="92" hidden="1"/>
    <row r="93" hidden="1"/>
    <row r="94" hidden="1"/>
    <row r="95" hidden="1"/>
    <row r="96" hidden="1"/>
    <row r="97" hidden="1"/>
    <row r="98" hidden="1"/>
    <row r="99" hidden="1"/>
    <row r="100" hidden="1"/>
    <row r="101" hidden="1"/>
    <row r="102" hidden="1"/>
    <row r="103" hidden="1"/>
    <row r="104" hidden="1"/>
    <row r="105" hidden="1"/>
    <row r="106" hidden="1"/>
    <row r="107" hidden="1"/>
    <row r="108" hidden="1"/>
    <row r="109" hidden="1"/>
    <row r="110" hidden="1"/>
    <row r="111" hidden="1"/>
    <row r="112" hidden="1"/>
    <row r="113" hidden="1"/>
    <row r="114" hidden="1"/>
    <row r="115" hidden="1"/>
    <row r="116" hidden="1"/>
    <row r="117" hidden="1"/>
    <row r="118" hidden="1"/>
    <row r="119" hidden="1"/>
    <row r="120" hidden="1"/>
    <row r="121" hidden="1"/>
    <row r="122" hidden="1"/>
    <row r="123" hidden="1"/>
    <row r="124" hidden="1"/>
    <row r="125" hidden="1"/>
    <row r="126" hidden="1"/>
    <row r="127" hidden="1"/>
    <row r="128" hidden="1"/>
    <row r="129" hidden="1"/>
    <row r="130" hidden="1"/>
    <row r="131" hidden="1"/>
    <row r="132" hidden="1"/>
    <row r="133" hidden="1"/>
    <row r="134" hidden="1"/>
    <row r="135" hidden="1"/>
    <row r="136" hidden="1"/>
    <row r="137" hidden="1"/>
    <row r="138" hidden="1"/>
    <row r="139" hidden="1"/>
    <row r="140" hidden="1"/>
    <row r="141" hidden="1"/>
    <row r="142" hidden="1"/>
    <row r="143" hidden="1"/>
    <row r="144" hidden="1"/>
    <row r="145" hidden="1"/>
    <row r="146" hidden="1"/>
    <row r="147" hidden="1"/>
    <row r="148" hidden="1"/>
    <row r="149" hidden="1"/>
    <row r="150" hidden="1"/>
    <row r="151" hidden="1"/>
    <row r="152" hidden="1"/>
    <row r="153" hidden="1"/>
    <row r="154" hidden="1"/>
    <row r="155" hidden="1"/>
    <row r="156" hidden="1"/>
    <row r="157" hidden="1"/>
    <row r="158" hidden="1"/>
    <row r="159" hidden="1"/>
    <row r="160" hidden="1"/>
    <row r="161" hidden="1"/>
    <row r="162" hidden="1"/>
    <row r="163" hidden="1"/>
    <row r="164" hidden="1"/>
    <row r="165" hidden="1"/>
    <row r="166" hidden="1"/>
    <row r="167" hidden="1"/>
    <row r="168" hidden="1"/>
    <row r="169" hidden="1"/>
    <row r="170" hidden="1"/>
    <row r="171" hidden="1"/>
    <row r="172" hidden="1"/>
    <row r="173" hidden="1"/>
    <row r="174" hidden="1"/>
    <row r="175" hidden="1"/>
    <row r="176"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row r="201" hidden="1"/>
    <row r="202" hidden="1"/>
    <row r="203" hidden="1"/>
    <row r="204" hidden="1"/>
    <row r="205" hidden="1"/>
    <row r="206" hidden="1"/>
    <row r="207" hidden="1"/>
    <row r="208" hidden="1"/>
    <row r="209" hidden="1"/>
    <row r="210" hidden="1"/>
    <row r="211" hidden="1"/>
    <row r="212" hidden="1"/>
    <row r="213" hidden="1"/>
    <row r="214" hidden="1"/>
    <row r="215" hidden="1"/>
    <row r="216" hidden="1"/>
    <row r="217" hidden="1"/>
    <row r="218" hidden="1"/>
    <row r="219" hidden="1"/>
    <row r="220" hidden="1"/>
    <row r="221" hidden="1"/>
    <row r="222" hidden="1"/>
    <row r="223" hidden="1"/>
    <row r="224" hidden="1"/>
    <row r="225" hidden="1"/>
    <row r="226" hidden="1"/>
    <row r="227" hidden="1"/>
    <row r="228" hidden="1"/>
    <row r="229" hidden="1"/>
    <row r="230" hidden="1"/>
    <row r="231" hidden="1"/>
    <row r="232" hidden="1"/>
    <row r="233" hidden="1"/>
    <row r="234" hidden="1"/>
    <row r="235" hidden="1"/>
    <row r="236" hidden="1"/>
    <row r="237" hidden="1"/>
    <row r="238" hidden="1"/>
    <row r="239" hidden="1"/>
    <row r="240" hidden="1"/>
    <row r="241" hidden="1"/>
    <row r="242" hidden="1"/>
    <row r="243" hidden="1"/>
    <row r="244" hidden="1"/>
    <row r="245" hidden="1"/>
    <row r="246" hidden="1"/>
    <row r="247" hidden="1"/>
    <row r="248" hidden="1"/>
    <row r="249" hidden="1"/>
    <row r="250" hidden="1"/>
    <row r="251" hidden="1"/>
    <row r="252" hidden="1"/>
    <row r="253" hidden="1"/>
    <row r="254" hidden="1"/>
    <row r="255" hidden="1"/>
    <row r="256" hidden="1"/>
    <row r="257" hidden="1"/>
    <row r="258" hidden="1"/>
    <row r="259" hidden="1"/>
    <row r="260" hidden="1"/>
    <row r="261" hidden="1"/>
    <row r="262" hidden="1"/>
    <row r="263" hidden="1"/>
    <row r="264" hidden="1"/>
    <row r="265" hidden="1"/>
    <row r="266" hidden="1"/>
    <row r="267" hidden="1"/>
    <row r="268" hidden="1"/>
    <row r="269" hidden="1"/>
    <row r="270" hidden="1"/>
    <row r="271" hidden="1"/>
    <row r="272" hidden="1"/>
    <row r="273" hidden="1"/>
    <row r="274" hidden="1"/>
    <row r="275" hidden="1"/>
    <row r="276" hidden="1"/>
    <row r="277" hidden="1"/>
    <row r="278" hidden="1"/>
    <row r="279" hidden="1"/>
    <row r="280" hidden="1"/>
    <row r="281" hidden="1"/>
    <row r="282" hidden="1"/>
    <row r="283" hidden="1"/>
    <row r="284" hidden="1"/>
    <row r="285" hidden="1"/>
    <row r="286" hidden="1"/>
    <row r="287" hidden="1"/>
    <row r="288" hidden="1"/>
    <row r="289" hidden="1"/>
    <row r="290" hidden="1"/>
    <row r="291" hidden="1"/>
    <row r="292" hidden="1"/>
    <row r="293" hidden="1"/>
    <row r="294" hidden="1"/>
    <row r="295" hidden="1"/>
    <row r="296" hidden="1"/>
    <row r="297" hidden="1"/>
    <row r="298" hidden="1"/>
    <row r="299" hidden="1"/>
    <row r="300" hidden="1"/>
    <row r="301" hidden="1"/>
    <row r="302" hidden="1"/>
    <row r="303" hidden="1"/>
    <row r="304" hidden="1"/>
    <row r="305" hidden="1"/>
    <row r="306" hidden="1"/>
    <row r="307" hidden="1"/>
    <row r="308" hidden="1"/>
    <row r="309" hidden="1"/>
    <row r="310" hidden="1"/>
    <row r="311" hidden="1"/>
    <row r="312" hidden="1"/>
    <row r="313" hidden="1"/>
    <row r="314" hidden="1"/>
    <row r="315" hidden="1"/>
    <row r="316" hidden="1"/>
    <row r="317" hidden="1"/>
    <row r="318" hidden="1"/>
    <row r="319" hidden="1"/>
    <row r="320" hidden="1"/>
    <row r="321" hidden="1"/>
    <row r="322" hidden="1"/>
    <row r="323" hidden="1"/>
    <row r="324" hidden="1"/>
    <row r="325" hidden="1"/>
    <row r="326" hidden="1"/>
    <row r="327" hidden="1"/>
    <row r="328" hidden="1"/>
    <row r="329" hidden="1"/>
    <row r="330" hidden="1"/>
    <row r="331" hidden="1"/>
    <row r="332" hidden="1"/>
    <row r="333" hidden="1"/>
    <row r="334" hidden="1"/>
    <row r="335" hidden="1"/>
    <row r="336" hidden="1"/>
    <row r="337" hidden="1"/>
    <row r="338" hidden="1"/>
    <row r="339" hidden="1"/>
    <row r="340" hidden="1"/>
    <row r="341" hidden="1"/>
    <row r="342" hidden="1"/>
    <row r="343" hidden="1"/>
    <row r="344" hidden="1"/>
    <row r="345" hidden="1"/>
    <row r="346" hidden="1"/>
    <row r="347" hidden="1"/>
    <row r="348" hidden="1"/>
    <row r="349" hidden="1"/>
    <row r="350" hidden="1"/>
    <row r="351" hidden="1"/>
    <row r="352" hidden="1"/>
    <row r="353" hidden="1"/>
    <row r="354" hidden="1"/>
    <row r="355" hidden="1"/>
    <row r="356" hidden="1"/>
    <row r="357" hidden="1"/>
    <row r="358" hidden="1"/>
    <row r="359" hidden="1"/>
    <row r="360" hidden="1"/>
    <row r="361" hidden="1"/>
    <row r="362" hidden="1"/>
    <row r="363" hidden="1"/>
    <row r="364" hidden="1"/>
    <row r="365" hidden="1"/>
    <row r="366" hidden="1"/>
    <row r="367" hidden="1"/>
    <row r="368" hidden="1"/>
    <row r="369" hidden="1"/>
    <row r="370" hidden="1"/>
    <row r="371" hidden="1"/>
    <row r="372" hidden="1"/>
    <row r="373" hidden="1"/>
    <row r="374" hidden="1"/>
    <row r="375" hidden="1"/>
    <row r="376" hidden="1"/>
    <row r="377" hidden="1"/>
    <row r="378" hidden="1"/>
    <row r="379" hidden="1"/>
    <row r="380" hidden="1"/>
    <row r="381" hidden="1"/>
    <row r="382" hidden="1"/>
    <row r="383" hidden="1"/>
    <row r="384" hidden="1"/>
    <row r="385" hidden="1"/>
    <row r="386" hidden="1"/>
    <row r="387" hidden="1"/>
    <row r="388" hidden="1"/>
    <row r="389" hidden="1"/>
    <row r="390" hidden="1"/>
    <row r="391" hidden="1"/>
    <row r="392" hidden="1"/>
    <row r="393" hidden="1"/>
    <row r="394" hidden="1"/>
    <row r="395" hidden="1"/>
    <row r="396" hidden="1"/>
    <row r="397" hidden="1"/>
    <row r="398" hidden="1"/>
    <row r="399" hidden="1"/>
    <row r="400" hidden="1"/>
    <row r="401" hidden="1"/>
    <row r="402" hidden="1"/>
    <row r="403" hidden="1"/>
    <row r="404" hidden="1"/>
    <row r="405" hidden="1"/>
    <row r="406" hidden="1"/>
    <row r="407" hidden="1"/>
    <row r="408" hidden="1"/>
    <row r="409" hidden="1"/>
    <row r="410" hidden="1"/>
    <row r="411" hidden="1"/>
    <row r="412" hidden="1"/>
    <row r="413" hidden="1"/>
    <row r="414" hidden="1"/>
    <row r="415" hidden="1"/>
    <row r="416" hidden="1"/>
    <row r="417" hidden="1"/>
    <row r="418" hidden="1"/>
    <row r="419" hidden="1"/>
    <row r="420" hidden="1"/>
    <row r="421" hidden="1"/>
    <row r="422" hidden="1"/>
    <row r="423" hidden="1"/>
    <row r="424" hidden="1"/>
    <row r="425" hidden="1"/>
    <row r="426" hidden="1"/>
    <row r="427" hidden="1"/>
    <row r="428" hidden="1"/>
    <row r="429" hidden="1"/>
    <row r="430" hidden="1"/>
    <row r="431" hidden="1"/>
    <row r="432" hidden="1"/>
    <row r="433" hidden="1"/>
    <row r="434" hidden="1"/>
    <row r="435" hidden="1"/>
    <row r="436" hidden="1"/>
    <row r="437" hidden="1"/>
    <row r="438" hidden="1"/>
    <row r="439" hidden="1"/>
    <row r="440" hidden="1"/>
    <row r="441" hidden="1"/>
    <row r="442" hidden="1"/>
    <row r="443" hidden="1"/>
    <row r="444" hidden="1"/>
    <row r="445" hidden="1"/>
    <row r="446" hidden="1"/>
    <row r="447" hidden="1"/>
    <row r="448" hidden="1"/>
    <row r="449" hidden="1"/>
    <row r="450" hidden="1"/>
    <row r="451" hidden="1"/>
    <row r="452" hidden="1"/>
    <row r="453" hidden="1"/>
    <row r="454" hidden="1"/>
    <row r="455" hidden="1"/>
    <row r="456" hidden="1"/>
    <row r="457" hidden="1"/>
    <row r="458" hidden="1"/>
    <row r="459" hidden="1"/>
    <row r="460" hidden="1"/>
    <row r="461" hidden="1"/>
    <row r="462" hidden="1"/>
    <row r="463" hidden="1"/>
    <row r="464" hidden="1"/>
    <row r="465" hidden="1"/>
    <row r="466" hidden="1"/>
    <row r="467" hidden="1"/>
    <row r="468" hidden="1"/>
    <row r="469" hidden="1"/>
    <row r="470" hidden="1"/>
    <row r="471" hidden="1"/>
    <row r="472" hidden="1"/>
    <row r="473" hidden="1"/>
    <row r="474" hidden="1"/>
    <row r="475" hidden="1"/>
    <row r="476" hidden="1"/>
    <row r="477" hidden="1"/>
    <row r="478" hidden="1"/>
    <row r="479" hidden="1"/>
    <row r="480" hidden="1"/>
    <row r="481" hidden="1"/>
    <row r="482" hidden="1"/>
    <row r="483" hidden="1"/>
    <row r="484" hidden="1"/>
    <row r="485" hidden="1"/>
    <row r="486" hidden="1"/>
    <row r="487" hidden="1"/>
    <row r="488" hidden="1"/>
    <row r="489" hidden="1"/>
    <row r="490" hidden="1"/>
    <row r="491" hidden="1"/>
    <row r="492" hidden="1"/>
    <row r="493" hidden="1"/>
    <row r="494" hidden="1"/>
    <row r="495" hidden="1"/>
    <row r="496" hidden="1"/>
    <row r="497" hidden="1"/>
    <row r="498" hidden="1"/>
    <row r="499" hidden="1"/>
    <row r="500" hidden="1"/>
    <row r="501" hidden="1"/>
    <row r="502" hidden="1"/>
    <row r="503" hidden="1"/>
    <row r="504" hidden="1"/>
    <row r="505" hidden="1"/>
    <row r="506" hidden="1"/>
    <row r="507" hidden="1"/>
    <row r="508" hidden="1"/>
    <row r="509" hidden="1"/>
    <row r="510" hidden="1"/>
    <row r="511" hidden="1"/>
    <row r="512" hidden="1"/>
    <row r="513" hidden="1"/>
    <row r="514" hidden="1"/>
    <row r="515" hidden="1"/>
    <row r="516" hidden="1"/>
    <row r="517" hidden="1"/>
    <row r="518" hidden="1"/>
    <row r="519" hidden="1"/>
    <row r="520" hidden="1"/>
    <row r="521" hidden="1"/>
    <row r="522" hidden="1"/>
    <row r="523" hidden="1"/>
    <row r="524" hidden="1"/>
    <row r="525" hidden="1"/>
    <row r="526" hidden="1"/>
    <row r="527" hidden="1"/>
    <row r="528" hidden="1"/>
    <row r="529" hidden="1"/>
    <row r="530" hidden="1"/>
    <row r="531" hidden="1"/>
    <row r="532" hidden="1"/>
    <row r="533" hidden="1"/>
    <row r="534" hidden="1"/>
    <row r="535" hidden="1"/>
    <row r="536" hidden="1"/>
    <row r="537" hidden="1"/>
    <row r="538" hidden="1"/>
    <row r="539" hidden="1"/>
    <row r="540" hidden="1"/>
    <row r="541" hidden="1"/>
    <row r="542" hidden="1"/>
    <row r="543" hidden="1"/>
    <row r="544" hidden="1"/>
    <row r="545" hidden="1"/>
    <row r="546" hidden="1"/>
    <row r="547" hidden="1"/>
    <row r="548" hidden="1"/>
    <row r="549" hidden="1"/>
    <row r="550" hidden="1"/>
    <row r="551" hidden="1"/>
    <row r="552" hidden="1"/>
    <row r="553" hidden="1"/>
    <row r="554" hidden="1"/>
    <row r="555" hidden="1"/>
    <row r="556" hidden="1"/>
    <row r="557" hidden="1"/>
    <row r="558" hidden="1"/>
    <row r="559" hidden="1"/>
    <row r="560" hidden="1"/>
    <row r="561" hidden="1"/>
    <row r="562" hidden="1"/>
    <row r="563" hidden="1"/>
    <row r="564" hidden="1"/>
    <row r="565" hidden="1"/>
    <row r="566" hidden="1"/>
    <row r="567" hidden="1"/>
    <row r="568" hidden="1"/>
    <row r="569" hidden="1"/>
    <row r="570" hidden="1"/>
    <row r="571" hidden="1"/>
    <row r="572" hidden="1"/>
    <row r="573" hidden="1"/>
    <row r="574" hidden="1"/>
    <row r="575" hidden="1"/>
    <row r="576" hidden="1"/>
    <row r="577" hidden="1"/>
    <row r="578" hidden="1"/>
    <row r="579" hidden="1"/>
    <row r="580" hidden="1"/>
    <row r="581" hidden="1"/>
    <row r="582" hidden="1"/>
    <row r="583" hidden="1"/>
    <row r="584" hidden="1"/>
    <row r="585" hidden="1"/>
    <row r="586" hidden="1"/>
    <row r="587" hidden="1"/>
    <row r="588" hidden="1"/>
    <row r="589" hidden="1"/>
    <row r="590" hidden="1"/>
    <row r="591" hidden="1"/>
    <row r="592" hidden="1"/>
    <row r="593" hidden="1"/>
    <row r="594" hidden="1"/>
    <row r="595" hidden="1"/>
    <row r="596" hidden="1"/>
    <row r="597" hidden="1"/>
    <row r="598" hidden="1"/>
    <row r="599" hidden="1"/>
    <row r="600" hidden="1"/>
    <row r="601" hidden="1"/>
    <row r="602" hidden="1"/>
    <row r="603" hidden="1"/>
    <row r="604" hidden="1"/>
    <row r="605" hidden="1"/>
    <row r="606" hidden="1"/>
    <row r="607" hidden="1"/>
    <row r="608" hidden="1"/>
    <row r="609" hidden="1"/>
    <row r="610" hidden="1"/>
    <row r="611" hidden="1"/>
    <row r="612" hidden="1"/>
    <row r="613" hidden="1"/>
    <row r="614" hidden="1"/>
    <row r="615" hidden="1"/>
    <row r="616" hidden="1"/>
    <row r="617" hidden="1"/>
    <row r="618" hidden="1"/>
    <row r="619" hidden="1"/>
    <row r="620" hidden="1"/>
    <row r="621" hidden="1"/>
    <row r="622" hidden="1"/>
    <row r="623" hidden="1"/>
    <row r="624" hidden="1"/>
    <row r="625" hidden="1"/>
    <row r="626" hidden="1"/>
    <row r="627" hidden="1"/>
    <row r="628" hidden="1"/>
    <row r="629" hidden="1"/>
    <row r="630" hidden="1"/>
    <row r="631" hidden="1"/>
    <row r="632" hidden="1"/>
    <row r="633" hidden="1"/>
    <row r="634" hidden="1"/>
    <row r="635" hidden="1"/>
    <row r="636" hidden="1"/>
    <row r="637" hidden="1"/>
    <row r="638" hidden="1"/>
    <row r="639" hidden="1"/>
    <row r="640" hidden="1"/>
    <row r="641" hidden="1"/>
    <row r="642" hidden="1"/>
    <row r="643" hidden="1"/>
    <row r="644" hidden="1"/>
    <row r="645" hidden="1"/>
    <row r="646" hidden="1"/>
    <row r="647" hidden="1"/>
    <row r="648" hidden="1"/>
    <row r="649" hidden="1"/>
    <row r="650" hidden="1"/>
    <row r="651" hidden="1"/>
    <row r="652" hidden="1"/>
    <row r="653" hidden="1"/>
    <row r="654" hidden="1"/>
    <row r="655" hidden="1"/>
    <row r="656" hidden="1"/>
    <row r="657" hidden="1"/>
    <row r="658" hidden="1"/>
    <row r="659" hidden="1"/>
    <row r="660" hidden="1"/>
    <row r="661" hidden="1"/>
    <row r="662" hidden="1"/>
    <row r="663" hidden="1"/>
    <row r="664" hidden="1"/>
    <row r="665" hidden="1"/>
    <row r="666" hidden="1"/>
    <row r="667" hidden="1"/>
    <row r="668" hidden="1"/>
    <row r="669" hidden="1"/>
    <row r="670" hidden="1"/>
    <row r="671" hidden="1"/>
    <row r="672" hidden="1"/>
    <row r="673" hidden="1"/>
    <row r="674" hidden="1"/>
    <row r="675" hidden="1"/>
    <row r="676" hidden="1"/>
    <row r="677" hidden="1"/>
    <row r="678" hidden="1"/>
    <row r="679" hidden="1"/>
    <row r="680" hidden="1"/>
    <row r="681" hidden="1"/>
    <row r="682" hidden="1"/>
    <row r="683" hidden="1"/>
    <row r="684" hidden="1"/>
    <row r="685" hidden="1"/>
    <row r="686" hidden="1"/>
    <row r="687" hidden="1"/>
    <row r="688" hidden="1"/>
    <row r="689" hidden="1"/>
    <row r="690" hidden="1"/>
    <row r="691" hidden="1"/>
    <row r="692" hidden="1"/>
    <row r="693" hidden="1"/>
    <row r="694" hidden="1"/>
    <row r="695" hidden="1"/>
    <row r="696" hidden="1"/>
    <row r="697" hidden="1"/>
    <row r="698" hidden="1"/>
    <row r="699" hidden="1"/>
    <row r="700" hidden="1"/>
    <row r="701" hidden="1"/>
    <row r="702" hidden="1"/>
    <row r="703" hidden="1"/>
    <row r="704" hidden="1"/>
    <row r="705" hidden="1"/>
    <row r="706" hidden="1"/>
    <row r="707" hidden="1"/>
    <row r="708" hidden="1"/>
    <row r="709" hidden="1"/>
    <row r="710" hidden="1"/>
    <row r="711" hidden="1"/>
    <row r="712" hidden="1"/>
    <row r="713" hidden="1"/>
    <row r="714" hidden="1"/>
    <row r="715" hidden="1"/>
    <row r="716" hidden="1"/>
    <row r="717" hidden="1"/>
    <row r="718" hidden="1"/>
    <row r="719" hidden="1"/>
    <row r="720" hidden="1"/>
    <row r="721" hidden="1"/>
    <row r="722" hidden="1"/>
    <row r="723" hidden="1"/>
    <row r="724" hidden="1"/>
    <row r="725" hidden="1"/>
    <row r="726" hidden="1"/>
    <row r="727" hidden="1"/>
    <row r="728" hidden="1"/>
    <row r="729" hidden="1"/>
    <row r="730" hidden="1"/>
    <row r="731" hidden="1"/>
    <row r="732" hidden="1"/>
    <row r="733" hidden="1"/>
    <row r="734" hidden="1"/>
    <row r="735" hidden="1"/>
    <row r="736" hidden="1"/>
    <row r="737" hidden="1"/>
    <row r="738" hidden="1"/>
    <row r="739" hidden="1"/>
    <row r="740" hidden="1"/>
    <row r="741" hidden="1"/>
    <row r="742" hidden="1"/>
    <row r="743" hidden="1"/>
    <row r="744" hidden="1"/>
    <row r="745" hidden="1"/>
    <row r="746" hidden="1"/>
    <row r="747" hidden="1"/>
    <row r="748" hidden="1"/>
    <row r="749" hidden="1"/>
    <row r="750" hidden="1"/>
    <row r="751" hidden="1"/>
    <row r="752" hidden="1"/>
    <row r="753" hidden="1"/>
    <row r="754" hidden="1"/>
    <row r="755" hidden="1"/>
    <row r="756" hidden="1"/>
    <row r="757" hidden="1"/>
    <row r="758" hidden="1"/>
    <row r="759" hidden="1"/>
    <row r="760" hidden="1"/>
    <row r="761" hidden="1"/>
    <row r="762" hidden="1"/>
    <row r="763" hidden="1"/>
    <row r="764" hidden="1"/>
    <row r="765" hidden="1"/>
    <row r="766" hidden="1"/>
    <row r="767" hidden="1"/>
    <row r="768" hidden="1"/>
    <row r="769" hidden="1"/>
    <row r="770" hidden="1"/>
    <row r="771" hidden="1"/>
    <row r="772" hidden="1"/>
    <row r="773" hidden="1"/>
    <row r="774" hidden="1"/>
    <row r="775" hidden="1"/>
    <row r="776" hidden="1"/>
    <row r="777" hidden="1"/>
    <row r="778" hidden="1"/>
    <row r="779" hidden="1"/>
    <row r="780" hidden="1"/>
    <row r="781" hidden="1"/>
    <row r="782" hidden="1"/>
    <row r="783" hidden="1"/>
    <row r="784" hidden="1"/>
    <row r="785" hidden="1"/>
    <row r="786" hidden="1"/>
    <row r="787" hidden="1"/>
    <row r="788" hidden="1"/>
    <row r="789" hidden="1"/>
    <row r="790" hidden="1"/>
    <row r="791" hidden="1"/>
    <row r="792" hidden="1"/>
    <row r="793" hidden="1"/>
    <row r="794" hidden="1"/>
    <row r="795" hidden="1"/>
    <row r="796" hidden="1"/>
    <row r="797" hidden="1"/>
    <row r="798" hidden="1"/>
    <row r="799" hidden="1"/>
    <row r="800" hidden="1"/>
    <row r="801" hidden="1"/>
    <row r="802" hidden="1"/>
    <row r="803" hidden="1"/>
    <row r="804" hidden="1"/>
    <row r="805" hidden="1"/>
    <row r="806" hidden="1"/>
    <row r="807" hidden="1"/>
    <row r="808" hidden="1"/>
    <row r="809" hidden="1"/>
    <row r="810" hidden="1"/>
    <row r="811" hidden="1"/>
    <row r="812" hidden="1"/>
    <row r="813" hidden="1"/>
    <row r="814" hidden="1"/>
    <row r="815" hidden="1"/>
    <row r="816" hidden="1"/>
    <row r="817" hidden="1"/>
    <row r="818" hidden="1"/>
    <row r="819" hidden="1"/>
    <row r="820" hidden="1"/>
    <row r="821" hidden="1"/>
    <row r="822" hidden="1"/>
    <row r="823" hidden="1"/>
    <row r="824" hidden="1"/>
    <row r="825" hidden="1"/>
    <row r="826" hidden="1"/>
    <row r="827" hidden="1"/>
    <row r="828" hidden="1"/>
    <row r="829" hidden="1"/>
    <row r="830" hidden="1"/>
    <row r="831" hidden="1"/>
    <row r="832" hidden="1"/>
    <row r="833" hidden="1"/>
    <row r="834" hidden="1"/>
    <row r="835" hidden="1"/>
    <row r="836" hidden="1"/>
    <row r="837" hidden="1"/>
    <row r="838" hidden="1"/>
    <row r="839" hidden="1"/>
    <row r="840" hidden="1"/>
    <row r="841" hidden="1"/>
    <row r="842" hidden="1"/>
    <row r="843" hidden="1"/>
    <row r="844" hidden="1"/>
    <row r="845" hidden="1"/>
    <row r="846" hidden="1"/>
    <row r="847" hidden="1"/>
    <row r="848" hidden="1"/>
    <row r="849" hidden="1"/>
    <row r="850" hidden="1"/>
    <row r="851" hidden="1"/>
    <row r="852" hidden="1"/>
    <row r="853" hidden="1"/>
    <row r="854" hidden="1"/>
    <row r="855" hidden="1"/>
    <row r="856" hidden="1"/>
    <row r="857" hidden="1"/>
    <row r="858" hidden="1"/>
    <row r="859" hidden="1"/>
    <row r="860" hidden="1"/>
    <row r="861" hidden="1"/>
    <row r="862" hidden="1"/>
    <row r="863" hidden="1"/>
    <row r="864" hidden="1"/>
    <row r="865" hidden="1"/>
    <row r="866" hidden="1"/>
    <row r="867" hidden="1"/>
    <row r="868" hidden="1"/>
    <row r="869" hidden="1"/>
    <row r="870" hidden="1"/>
    <row r="871" hidden="1"/>
    <row r="872" hidden="1"/>
    <row r="873" hidden="1"/>
    <row r="874" hidden="1"/>
    <row r="875" hidden="1"/>
    <row r="876" hidden="1"/>
    <row r="877" hidden="1"/>
    <row r="878" hidden="1"/>
    <row r="879" hidden="1"/>
    <row r="880" hidden="1"/>
    <row r="881" hidden="1"/>
    <row r="882" hidden="1"/>
    <row r="883" hidden="1"/>
    <row r="884" hidden="1"/>
    <row r="885" hidden="1"/>
    <row r="886" hidden="1"/>
    <row r="887" hidden="1"/>
    <row r="888" hidden="1"/>
    <row r="889" hidden="1"/>
    <row r="890" hidden="1"/>
    <row r="891" hidden="1"/>
    <row r="892" hidden="1"/>
    <row r="893" hidden="1"/>
    <row r="894" hidden="1"/>
    <row r="895" hidden="1"/>
    <row r="896" hidden="1"/>
    <row r="897" hidden="1"/>
    <row r="898" hidden="1"/>
    <row r="899" hidden="1"/>
    <row r="900" hidden="1"/>
    <row r="901" hidden="1"/>
    <row r="902" hidden="1"/>
    <row r="903" hidden="1"/>
    <row r="904" hidden="1"/>
    <row r="905" hidden="1"/>
    <row r="906" hidden="1"/>
    <row r="907" hidden="1"/>
    <row r="908" hidden="1"/>
    <row r="909" hidden="1"/>
    <row r="910" hidden="1"/>
    <row r="911" hidden="1"/>
    <row r="912" hidden="1"/>
    <row r="913" hidden="1"/>
    <row r="914" hidden="1"/>
    <row r="915" hidden="1"/>
    <row r="916" hidden="1"/>
    <row r="917" hidden="1"/>
    <row r="918" hidden="1"/>
    <row r="919" hidden="1"/>
    <row r="920" hidden="1"/>
    <row r="921" hidden="1"/>
    <row r="922" hidden="1"/>
    <row r="923" hidden="1"/>
    <row r="924" hidden="1"/>
    <row r="925" hidden="1"/>
    <row r="926" hidden="1"/>
    <row r="927" hidden="1"/>
    <row r="928" hidden="1"/>
    <row r="929" hidden="1"/>
    <row r="930" hidden="1"/>
    <row r="931" hidden="1"/>
    <row r="932" hidden="1"/>
    <row r="933" hidden="1"/>
    <row r="934" hidden="1"/>
    <row r="935" hidden="1"/>
    <row r="936" hidden="1"/>
    <row r="937" hidden="1"/>
    <row r="938" hidden="1"/>
    <row r="939" hidden="1"/>
    <row r="940" hidden="1"/>
    <row r="941" hidden="1"/>
    <row r="942" hidden="1"/>
    <row r="943" hidden="1"/>
    <row r="944" hidden="1"/>
    <row r="945" hidden="1"/>
    <row r="946" hidden="1"/>
    <row r="947" hidden="1"/>
    <row r="948" hidden="1"/>
    <row r="949" hidden="1"/>
    <row r="950" hidden="1"/>
    <row r="951" hidden="1"/>
    <row r="952" hidden="1"/>
    <row r="953" hidden="1"/>
    <row r="954" hidden="1"/>
    <row r="955" hidden="1"/>
    <row r="956" hidden="1"/>
    <row r="957" hidden="1"/>
    <row r="958" hidden="1"/>
    <row r="959" hidden="1"/>
    <row r="960" hidden="1"/>
    <row r="961" hidden="1"/>
    <row r="962" hidden="1"/>
    <row r="963" hidden="1"/>
    <row r="964" hidden="1"/>
    <row r="965" hidden="1"/>
    <row r="966" hidden="1"/>
    <row r="967" hidden="1"/>
    <row r="968" hidden="1"/>
    <row r="969" hidden="1"/>
    <row r="970" hidden="1"/>
    <row r="971" hidden="1"/>
    <row r="972" hidden="1"/>
    <row r="973" hidden="1"/>
    <row r="974" hidden="1"/>
    <row r="975" hidden="1"/>
    <row r="976" hidden="1"/>
    <row r="977" hidden="1"/>
    <row r="978" hidden="1"/>
    <row r="979" hidden="1"/>
    <row r="980" hidden="1"/>
    <row r="981" hidden="1"/>
    <row r="982" hidden="1"/>
    <row r="983" hidden="1"/>
    <row r="984" hidden="1"/>
    <row r="985" hidden="1"/>
    <row r="986" hidden="1"/>
    <row r="987" hidden="1"/>
    <row r="988" hidden="1"/>
    <row r="989" hidden="1"/>
    <row r="990" hidden="1"/>
    <row r="991" hidden="1"/>
    <row r="992" hidden="1"/>
    <row r="993" hidden="1"/>
    <row r="994" hidden="1"/>
    <row r="995" hidden="1"/>
    <row r="996" hidden="1"/>
    <row r="997" hidden="1"/>
    <row r="998" hidden="1"/>
    <row r="999" hidden="1"/>
    <row r="1000" hidden="1"/>
    <row r="1001" hidden="1"/>
    <row r="1002" hidden="1"/>
  </sheetData>
  <mergeCells count="3">
    <mergeCell ref="B2:D2"/>
    <mergeCell ref="B3:F3"/>
    <mergeCell ref="A33:K35"/>
  </mergeCells>
  <drawing r:id="rId1"/>
</worksheet>
</file>